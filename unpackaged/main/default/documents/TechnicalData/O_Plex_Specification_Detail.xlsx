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705" yWindow="420" windowWidth="17820" windowHeight="10920" activeTab="1"/>
  </bookViews>
  <sheets>
    <sheet name="Inputs" sheetId="5" r:id="rId1"/>
    <sheet name="Specs" sheetId="4" r:id="rId2"/>
    <sheet name="AC duct" sheetId="1" r:id="rId3"/>
    <sheet name="Telecom" sheetId="2" r:id="rId4"/>
    <sheet name="Electrical 1-ph" sheetId="3" r:id="rId5"/>
    <sheet name="Electrical 3-ph" sheetId="7" r:id="rId6"/>
    <sheet name="Plumbing" sheetId="6" r:id="rId7"/>
    <sheet name="Check" sheetId="8" r:id="rId8"/>
    <sheet name="Summation" sheetId="9" r:id="rId9"/>
    <sheet name="Sheet1" sheetId="10" r:id="rId10"/>
  </sheets>
  <definedNames>
    <definedName name="Occupancy">Inputs!$E$31:$E$32</definedName>
    <definedName name="_xlnm.Print_Area" localSheetId="2">'AC duct'!$A$1:$Z$15</definedName>
    <definedName name="_xlnm.Print_Area" localSheetId="4">'Electrical 1-ph'!#REF!</definedName>
    <definedName name="_xlnm.Print_Area" localSheetId="5">'Electrical 3-ph'!$B$7:$X$45</definedName>
    <definedName name="_xlnm.Print_Area" localSheetId="0">Inputs!$C$1:$U$46</definedName>
    <definedName name="_xlnm.Print_Area" localSheetId="1">Specs!$F$8:$AH$71</definedName>
    <definedName name="_xlnm.Print_Area" localSheetId="8">Summation!$C$1:$I$55</definedName>
    <definedName name="_xlnm.Print_Area" localSheetId="3">'AC duct'!$AB$6:$AF$29</definedName>
  </definedNames>
  <calcPr calcId="114210"/>
</workbook>
</file>

<file path=xl/calcChain.xml><?xml version="1.0" encoding="utf-8"?>
<calcChain xmlns="http://schemas.openxmlformats.org/spreadsheetml/2006/main">
  <c r="F41" i="3"/>
  <c r="O40"/>
  <c r="K51"/>
  <c r="N43"/>
  <c r="G43"/>
  <c r="P42"/>
  <c r="H42"/>
  <c r="H44"/>
  <c r="M41"/>
  <c r="M44"/>
  <c r="F44"/>
  <c r="O44"/>
  <c r="I40"/>
  <c r="N39"/>
  <c r="G39"/>
  <c r="F18"/>
  <c r="O17"/>
  <c r="X5"/>
  <c r="O76" i="1"/>
  <c r="Q76"/>
  <c r="O75"/>
  <c r="Q75"/>
  <c r="P40" i="3"/>
  <c r="P44"/>
  <c r="G41"/>
  <c r="G44"/>
  <c r="N41"/>
  <c r="N44"/>
  <c r="I42"/>
  <c r="I44"/>
  <c r="U15" i="9"/>
  <c r="U14"/>
  <c r="U13"/>
  <c r="U11"/>
  <c r="U12"/>
  <c r="AF102" i="1"/>
  <c r="AF101"/>
  <c r="AF93"/>
  <c r="AF92"/>
  <c r="AF56"/>
  <c r="AF55"/>
  <c r="O95"/>
  <c r="Q95"/>
  <c r="O94"/>
  <c r="Q94"/>
  <c r="O88"/>
  <c r="Q88"/>
  <c r="O87"/>
  <c r="Q87"/>
  <c r="AF84"/>
  <c r="AF83"/>
  <c r="O81"/>
  <c r="Q81"/>
  <c r="O80"/>
  <c r="Q80"/>
  <c r="AF75"/>
  <c r="AF74"/>
  <c r="O69"/>
  <c r="Q69"/>
  <c r="O68"/>
  <c r="Q68"/>
  <c r="AF65"/>
  <c r="AF64"/>
  <c r="O62"/>
  <c r="Q62"/>
  <c r="O61"/>
  <c r="Q61"/>
  <c r="O53"/>
  <c r="Q53"/>
  <c r="O52"/>
  <c r="Q52"/>
  <c r="AF47"/>
  <c r="AF46"/>
  <c r="O46"/>
  <c r="Q46"/>
  <c r="O45"/>
  <c r="Q45"/>
  <c r="K47" i="3"/>
  <c r="K46"/>
  <c r="O40" i="5"/>
  <c r="X4" i="3"/>
  <c r="Z11"/>
  <c r="Z3"/>
  <c r="Z6"/>
  <c r="Z10"/>
  <c r="K48"/>
  <c r="M46"/>
  <c r="R15" i="9"/>
  <c r="R14"/>
  <c r="S14"/>
  <c r="R13"/>
  <c r="R12"/>
  <c r="S12"/>
  <c r="R11"/>
  <c r="R10"/>
  <c r="S10"/>
  <c r="R9"/>
  <c r="S9"/>
  <c r="S15"/>
  <c r="S13"/>
  <c r="S11"/>
  <c r="N15"/>
  <c r="N14"/>
  <c r="N13"/>
  <c r="N12"/>
  <c r="N11"/>
  <c r="N10"/>
  <c r="N9"/>
  <c r="D8"/>
  <c r="X5" i="1"/>
  <c r="Y12"/>
  <c r="Y11"/>
  <c r="Y10"/>
  <c r="Y9"/>
  <c r="Y8"/>
  <c r="Y7"/>
  <c r="Y6"/>
  <c r="S13" i="5"/>
  <c r="R13"/>
  <c r="Q13"/>
  <c r="P13"/>
  <c r="O13"/>
  <c r="X12" i="1"/>
  <c r="X11"/>
  <c r="X10"/>
  <c r="X9"/>
  <c r="X8"/>
  <c r="X7"/>
  <c r="X6"/>
  <c r="G26" i="9"/>
  <c r="G25"/>
  <c r="G24"/>
  <c r="G23"/>
  <c r="G22"/>
  <c r="G21"/>
  <c r="C25"/>
  <c r="C24"/>
  <c r="C23"/>
  <c r="C22"/>
  <c r="C21"/>
  <c r="C18" i="1"/>
  <c r="I18" i="4"/>
  <c r="D13" i="9"/>
  <c r="V507" i="6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06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7"/>
  <c r="K49" i="3"/>
  <c r="K50"/>
  <c r="M47"/>
  <c r="E19" i="5"/>
  <c r="O45"/>
  <c r="O44"/>
  <c r="O43"/>
  <c r="O42"/>
  <c r="O41"/>
  <c r="O39"/>
  <c r="K28" i="3"/>
  <c r="L53" i="7"/>
  <c r="G56"/>
  <c r="P56"/>
  <c r="I57"/>
  <c r="R57"/>
  <c r="K58"/>
  <c r="T58"/>
  <c r="G59"/>
  <c r="P59"/>
  <c r="I60"/>
  <c r="R60"/>
  <c r="J61"/>
  <c r="K61"/>
  <c r="T61"/>
  <c r="G62"/>
  <c r="O62"/>
  <c r="P62"/>
  <c r="I63"/>
  <c r="R63"/>
  <c r="K64"/>
  <c r="T64"/>
  <c r="G65"/>
  <c r="L65"/>
  <c r="N65"/>
  <c r="P65"/>
  <c r="I66"/>
  <c r="L66"/>
  <c r="N66"/>
  <c r="R66"/>
  <c r="K67"/>
  <c r="L67"/>
  <c r="N67"/>
  <c r="T67"/>
  <c r="G68"/>
  <c r="L68"/>
  <c r="N68"/>
  <c r="P68"/>
  <c r="I69"/>
  <c r="L69"/>
  <c r="N69"/>
  <c r="R69"/>
  <c r="K70"/>
  <c r="L70"/>
  <c r="N70"/>
  <c r="T70"/>
  <c r="G71"/>
  <c r="L71"/>
  <c r="N71"/>
  <c r="P71"/>
  <c r="I72"/>
  <c r="L72"/>
  <c r="N72"/>
  <c r="R72"/>
  <c r="K73"/>
  <c r="L73"/>
  <c r="N73"/>
  <c r="T73"/>
  <c r="G74"/>
  <c r="L74"/>
  <c r="N74"/>
  <c r="P74"/>
  <c r="I75"/>
  <c r="L75"/>
  <c r="N75"/>
  <c r="R75"/>
  <c r="K76"/>
  <c r="L76"/>
  <c r="N76"/>
  <c r="T76"/>
  <c r="F78"/>
  <c r="G78"/>
  <c r="H78"/>
  <c r="I78"/>
  <c r="J78"/>
  <c r="K78"/>
  <c r="O78"/>
  <c r="P78"/>
  <c r="L80"/>
  <c r="Q78"/>
  <c r="R78"/>
  <c r="L81"/>
  <c r="S78"/>
  <c r="T78"/>
  <c r="L82"/>
  <c r="G18" i="3"/>
  <c r="G20"/>
  <c r="P19"/>
  <c r="N20"/>
  <c r="T35" i="7"/>
  <c r="T32"/>
  <c r="T29"/>
  <c r="T26"/>
  <c r="T23"/>
  <c r="T20"/>
  <c r="T17"/>
  <c r="R34"/>
  <c r="R31"/>
  <c r="R28"/>
  <c r="R25"/>
  <c r="R22"/>
  <c r="R19"/>
  <c r="R16"/>
  <c r="P33"/>
  <c r="P30"/>
  <c r="P27"/>
  <c r="P24"/>
  <c r="P21"/>
  <c r="P18"/>
  <c r="P15"/>
  <c r="K35"/>
  <c r="K32"/>
  <c r="K29"/>
  <c r="K26"/>
  <c r="K23"/>
  <c r="K20"/>
  <c r="K17"/>
  <c r="I34"/>
  <c r="I31"/>
  <c r="I28"/>
  <c r="I25"/>
  <c r="I22"/>
  <c r="I19"/>
  <c r="I16"/>
  <c r="L12"/>
  <c r="G33"/>
  <c r="G30"/>
  <c r="G27"/>
  <c r="G24"/>
  <c r="G21"/>
  <c r="G18"/>
  <c r="G15"/>
  <c r="P17" i="3"/>
  <c r="N16"/>
  <c r="I17"/>
  <c r="G16"/>
  <c r="S37" i="7"/>
  <c r="Q37"/>
  <c r="H37"/>
  <c r="F37"/>
  <c r="N24"/>
  <c r="N25"/>
  <c r="N26"/>
  <c r="N27"/>
  <c r="N28"/>
  <c r="N29"/>
  <c r="N30"/>
  <c r="N31"/>
  <c r="N32"/>
  <c r="N33"/>
  <c r="N34"/>
  <c r="N35"/>
  <c r="L24"/>
  <c r="L25"/>
  <c r="L26"/>
  <c r="L27"/>
  <c r="L28"/>
  <c r="L29"/>
  <c r="L30"/>
  <c r="L31"/>
  <c r="L32"/>
  <c r="L33"/>
  <c r="L34"/>
  <c r="L35"/>
  <c r="O21"/>
  <c r="J20"/>
  <c r="AD18"/>
  <c r="AD17"/>
  <c r="T37"/>
  <c r="K37"/>
  <c r="AD16"/>
  <c r="R37"/>
  <c r="I37"/>
  <c r="AD15"/>
  <c r="P37"/>
  <c r="AD14"/>
  <c r="AB13"/>
  <c r="AB12"/>
  <c r="AD10"/>
  <c r="AD8"/>
  <c r="Z14" i="3"/>
  <c r="Z13"/>
  <c r="Z12"/>
  <c r="X9"/>
  <c r="X8"/>
  <c r="H19"/>
  <c r="H21"/>
  <c r="O21"/>
  <c r="F21"/>
  <c r="T25" i="6"/>
  <c r="S25"/>
  <c r="R25"/>
  <c r="Q25"/>
  <c r="P25"/>
  <c r="O25"/>
  <c r="O27"/>
  <c r="L25"/>
  <c r="K25"/>
  <c r="J25"/>
  <c r="I25"/>
  <c r="H25"/>
  <c r="G25"/>
  <c r="E15" i="5"/>
  <c r="T10"/>
  <c r="D12" i="9"/>
  <c r="E8" i="5"/>
  <c r="D11" i="9"/>
  <c r="E34" i="5"/>
  <c r="E33"/>
  <c r="S9"/>
  <c r="S11"/>
  <c r="S12"/>
  <c r="R9"/>
  <c r="R11"/>
  <c r="R12"/>
  <c r="Q9"/>
  <c r="Q11"/>
  <c r="Q12"/>
  <c r="P9"/>
  <c r="P11"/>
  <c r="P12"/>
  <c r="O9"/>
  <c r="O11"/>
  <c r="O12"/>
  <c r="N9"/>
  <c r="M9"/>
  <c r="L9"/>
  <c r="K9"/>
  <c r="J9"/>
  <c r="I9"/>
  <c r="H9"/>
  <c r="G9"/>
  <c r="F9"/>
  <c r="E9"/>
  <c r="T6"/>
  <c r="E7"/>
  <c r="D10" i="9"/>
  <c r="T5" i="5"/>
  <c r="I19" i="3"/>
  <c r="M18"/>
  <c r="N11" i="5"/>
  <c r="N12"/>
  <c r="N13"/>
  <c r="M11"/>
  <c r="M12"/>
  <c r="M13"/>
  <c r="K11"/>
  <c r="K12"/>
  <c r="K13"/>
  <c r="L11"/>
  <c r="L12"/>
  <c r="L13"/>
  <c r="J11"/>
  <c r="J12"/>
  <c r="J13"/>
  <c r="I11"/>
  <c r="I12"/>
  <c r="I13"/>
  <c r="H11"/>
  <c r="H12"/>
  <c r="H13"/>
  <c r="G11"/>
  <c r="G12"/>
  <c r="G13"/>
  <c r="E11"/>
  <c r="E13"/>
  <c r="E16"/>
  <c r="F11"/>
  <c r="F13"/>
  <c r="E20"/>
  <c r="E12"/>
  <c r="D16" i="9"/>
  <c r="F12" i="5"/>
  <c r="G37" i="7"/>
  <c r="L83"/>
  <c r="L84"/>
  <c r="L85"/>
  <c r="N80"/>
  <c r="N82"/>
  <c r="N81"/>
  <c r="L40"/>
  <c r="L39"/>
  <c r="L41"/>
  <c r="J37"/>
  <c r="O37"/>
  <c r="G21" i="3"/>
  <c r="I21"/>
  <c r="P21"/>
  <c r="O28" i="6"/>
  <c r="E29" i="5"/>
  <c r="E36"/>
  <c r="F36"/>
  <c r="G36"/>
  <c r="E28"/>
  <c r="T9"/>
  <c r="E27"/>
  <c r="O16"/>
  <c r="P16"/>
  <c r="N16"/>
  <c r="N18" i="3"/>
  <c r="N21"/>
  <c r="M21"/>
  <c r="K23"/>
  <c r="T11" i="5"/>
  <c r="D17" i="9"/>
  <c r="T12" i="5"/>
  <c r="D35" i="9"/>
  <c r="I14" i="8"/>
  <c r="I16"/>
  <c r="F10" i="9"/>
  <c r="K24" i="3"/>
  <c r="L42" i="7"/>
  <c r="F43" i="5"/>
  <c r="H43"/>
  <c r="F40"/>
  <c r="J40"/>
  <c r="L20"/>
  <c r="J20"/>
  <c r="H20"/>
  <c r="F20"/>
  <c r="M20"/>
  <c r="K20"/>
  <c r="I20"/>
  <c r="G20"/>
  <c r="L16"/>
  <c r="J16"/>
  <c r="H16"/>
  <c r="F16"/>
  <c r="M16"/>
  <c r="K16"/>
  <c r="I16"/>
  <c r="G16"/>
  <c r="F41"/>
  <c r="H41"/>
  <c r="F39"/>
  <c r="P39"/>
  <c r="F42"/>
  <c r="H42"/>
  <c r="G32"/>
  <c r="H32"/>
  <c r="F45"/>
  <c r="G31"/>
  <c r="H31"/>
  <c r="E37"/>
  <c r="F37"/>
  <c r="F44"/>
  <c r="P44"/>
  <c r="G33"/>
  <c r="H33"/>
  <c r="G34"/>
  <c r="H34"/>
  <c r="N17"/>
  <c r="O17"/>
  <c r="P17"/>
  <c r="K34"/>
  <c r="F59"/>
  <c r="K25" i="3"/>
  <c r="K26"/>
  <c r="K27"/>
  <c r="H39" i="5"/>
  <c r="T13"/>
  <c r="D18" i="9"/>
  <c r="H69" i="4"/>
  <c r="D36" i="9"/>
  <c r="C17" i="1"/>
  <c r="H12" i="9"/>
  <c r="E59" i="5"/>
  <c r="D14" i="9"/>
  <c r="G59" i="5"/>
  <c r="G60"/>
  <c r="E60"/>
  <c r="F66"/>
  <c r="F60"/>
  <c r="P43"/>
  <c r="J43"/>
  <c r="L43" i="7"/>
  <c r="L44"/>
  <c r="N40"/>
  <c r="N41"/>
  <c r="N39"/>
  <c r="J39" i="5"/>
  <c r="F47"/>
  <c r="I21"/>
  <c r="M21"/>
  <c r="H21"/>
  <c r="L21"/>
  <c r="H40"/>
  <c r="P40"/>
  <c r="K21"/>
  <c r="J21"/>
  <c r="J44"/>
  <c r="P41"/>
  <c r="J41"/>
  <c r="P42"/>
  <c r="J42"/>
  <c r="K33"/>
  <c r="I17"/>
  <c r="J17"/>
  <c r="K17"/>
  <c r="M17"/>
  <c r="H17"/>
  <c r="L17"/>
  <c r="H44"/>
  <c r="H45"/>
  <c r="P45"/>
  <c r="J45"/>
  <c r="AG16" i="4"/>
  <c r="AG21"/>
  <c r="AG23"/>
  <c r="AG25"/>
  <c r="D30" i="9"/>
  <c r="M23" i="3"/>
  <c r="M24"/>
  <c r="D31" i="9"/>
  <c r="C19" i="1"/>
  <c r="D28" i="9"/>
  <c r="F65" i="5"/>
  <c r="D29" i="9"/>
  <c r="AG27" i="4"/>
  <c r="H13" i="9"/>
  <c r="Z11" i="1"/>
  <c r="Z9"/>
  <c r="Z7"/>
  <c r="Z5"/>
  <c r="Z12"/>
  <c r="Z10"/>
  <c r="Z8"/>
  <c r="Z6"/>
</calcChain>
</file>

<file path=xl/sharedStrings.xml><?xml version="1.0" encoding="utf-8"?>
<sst xmlns="http://schemas.openxmlformats.org/spreadsheetml/2006/main" count="1377" uniqueCount="670">
  <si>
    <t>H</t>
  </si>
  <si>
    <t>3-ton</t>
  </si>
  <si>
    <t>CFM</t>
  </si>
  <si>
    <t xml:space="preserve"> </t>
  </si>
  <si>
    <t>1-1/2 ton</t>
  </si>
  <si>
    <t>2-ton</t>
  </si>
  <si>
    <t>3-1/2 ton</t>
  </si>
  <si>
    <t>4-ton</t>
  </si>
  <si>
    <t>5-ton</t>
  </si>
  <si>
    <t>Item</t>
  </si>
  <si>
    <t>sf</t>
  </si>
  <si>
    <t>DESIGN CRITERIA:</t>
  </si>
  <si>
    <t>PROJECT NAME:</t>
  </si>
  <si>
    <t>BUILDING SQUARE FOOTAGE:</t>
  </si>
  <si>
    <t>WIDTH</t>
  </si>
  <si>
    <t>2003 IBC</t>
  </si>
  <si>
    <t>2003 IMC</t>
  </si>
  <si>
    <t>USE GROUP:</t>
  </si>
  <si>
    <t>B</t>
  </si>
  <si>
    <t>CONSTRUCTION TYPE:</t>
  </si>
  <si>
    <t>IBC: V-B</t>
  </si>
  <si>
    <t>PERMISSIBLE GAS TYPE:</t>
  </si>
  <si>
    <t>LP</t>
  </si>
  <si>
    <t>NATURAL</t>
  </si>
  <si>
    <t xml:space="preserve"> N/A</t>
  </si>
  <si>
    <t>DESIGN LOADS:</t>
  </si>
  <si>
    <t>ROOF LIVE LOAD:</t>
  </si>
  <si>
    <t>FLOOR LIVE LOAD:</t>
  </si>
  <si>
    <t>CONC. FLOOR LIVE LOAD:</t>
  </si>
  <si>
    <t>WIND LOAD:</t>
  </si>
  <si>
    <t>EXPOSURE:</t>
  </si>
  <si>
    <t>SEISMIC DESIGN CATEGORY:</t>
  </si>
  <si>
    <t>SPECIAL CONDITIONS AND/OR LIMITATIONS:</t>
  </si>
  <si>
    <t>SF</t>
  </si>
  <si>
    <t>SCOPE OF WORK:</t>
  </si>
  <si>
    <t>1.</t>
  </si>
  <si>
    <t>2.</t>
  </si>
  <si>
    <t>3.</t>
  </si>
  <si>
    <t>4.</t>
  </si>
  <si>
    <t>5.</t>
  </si>
  <si>
    <t>UTILITIES AND UTILITY CONNECTIONS</t>
  </si>
  <si>
    <t>POURED CONCRETE (DRIVEWAY, SIDEWALK, SLABS, FOOTINGS, ECT.)</t>
  </si>
  <si>
    <t>SITE PREPARATION</t>
  </si>
  <si>
    <t>TAX OF ANY KIND</t>
  </si>
  <si>
    <t>BUILDING PERMITS</t>
  </si>
  <si>
    <t>NO PROVISION FOR SITE WORK HAS BEEN INCLUDED. IT IS PRESUMED THE</t>
  </si>
  <si>
    <t>SITE WILL PROVIDE CLEAR ACCESS FOR TRUCKS AND MODULARS.</t>
  </si>
  <si>
    <t>ALL ELECTRICAL, PLUMBING, SEWER, &amp; GAS SERVICE CONNECTIONS</t>
  </si>
  <si>
    <t>OUTRIGGERS:</t>
  </si>
  <si>
    <t>CROSSMEMBERS:</t>
  </si>
  <si>
    <t>BEAM:</t>
  </si>
  <si>
    <t>HITCH:</t>
  </si>
  <si>
    <t>AXLES:</t>
  </si>
  <si>
    <t>TIRES:</t>
  </si>
  <si>
    <t>FRAME:</t>
  </si>
  <si>
    <t>FLOOR:</t>
  </si>
  <si>
    <t>BOTTOM BOARD:</t>
  </si>
  <si>
    <t>INSULATION:</t>
  </si>
  <si>
    <t>JOIST:</t>
  </si>
  <si>
    <t>SIDEBAND JOIST (RIM):</t>
  </si>
  <si>
    <t>DECKING:</t>
  </si>
  <si>
    <t>UNDERLAYMENT:</t>
  </si>
  <si>
    <t>COVERING:</t>
  </si>
  <si>
    <t>BASE COVE:</t>
  </si>
  <si>
    <t>EXTERIOR WALLS:</t>
  </si>
  <si>
    <t>HEADERS:</t>
  </si>
  <si>
    <t>JACK STUDS: SINGLE EACH SIDE 2X4 #2SYP</t>
  </si>
  <si>
    <t>TRIM: STANDARD VCG BATTENS</t>
  </si>
  <si>
    <t>MISC:</t>
  </si>
  <si>
    <t>WINDOWS:</t>
  </si>
  <si>
    <t>BRAND:</t>
  </si>
  <si>
    <t>N/A</t>
  </si>
  <si>
    <t>DOORS:</t>
  </si>
  <si>
    <t>EXTERIOR:</t>
  </si>
  <si>
    <t>EXTERIOR HARDWARE:</t>
  </si>
  <si>
    <t>ROOF:</t>
  </si>
  <si>
    <t>RAFTER:</t>
  </si>
  <si>
    <t>RIM:</t>
  </si>
  <si>
    <t>SHEATHING:</t>
  </si>
  <si>
    <t>ROOF PITCH:</t>
  </si>
  <si>
    <t>CEILING:</t>
  </si>
  <si>
    <t>BOTTOM RAFTER SHEATHING:</t>
  </si>
  <si>
    <t>PLENUM:</t>
  </si>
  <si>
    <t>SERVICE:</t>
  </si>
  <si>
    <t xml:space="preserve">LOAD CENTER: </t>
  </si>
  <si>
    <t>ENTRANCE:</t>
  </si>
  <si>
    <t>WIRING:</t>
  </si>
  <si>
    <t>LIGHTS:</t>
  </si>
  <si>
    <t>FANS:</t>
  </si>
  <si>
    <t>EXIT/EMERG. LIGHT:</t>
  </si>
  <si>
    <t>RECIEPTS</t>
  </si>
  <si>
    <t>SWITCHES</t>
  </si>
  <si>
    <t>J-BOXES:</t>
  </si>
  <si>
    <t>ALARM:</t>
  </si>
  <si>
    <t>PLUMBING:</t>
  </si>
  <si>
    <t>HVAC:</t>
  </si>
  <si>
    <t>THERMOSTAT:</t>
  </si>
  <si>
    <t>DUCTS:</t>
  </si>
  <si>
    <t>SUPPLY REGISTERS:</t>
  </si>
  <si>
    <t>24X24 W/ ADJUSTABLE DIFFUSERS</t>
  </si>
  <si>
    <t>RETURN REGISTERS:</t>
  </si>
  <si>
    <t>FURNITURE OR MISC:</t>
  </si>
  <si>
    <t>EeMAX</t>
  </si>
  <si>
    <t>RECEPTS</t>
  </si>
  <si>
    <t>LIGHTS</t>
  </si>
  <si>
    <t>WATTS</t>
  </si>
  <si>
    <t>AMPS</t>
  </si>
  <si>
    <t>BREAKER</t>
  </si>
  <si>
    <t>ROLL, POLYETHYLENE FIBER MESH</t>
  </si>
  <si>
    <t>LF</t>
  </si>
  <si>
    <t>ELECTRICAL:</t>
  </si>
  <si>
    <t>PANEL "SP-1"</t>
  </si>
  <si>
    <t>TELECOM:</t>
  </si>
  <si>
    <t>AMPS EA.</t>
  </si>
  <si>
    <t>WATTS EA.</t>
  </si>
  <si>
    <t>90 CFM EXHAUST FAN</t>
  </si>
  <si>
    <t>EMERGENCY/EXIT</t>
  </si>
  <si>
    <t>ITEM</t>
  </si>
  <si>
    <t>PORCH LIIGHT</t>
  </si>
  <si>
    <t>EO</t>
  </si>
  <si>
    <t>DO</t>
  </si>
  <si>
    <t>PL</t>
  </si>
  <si>
    <t>$</t>
  </si>
  <si>
    <t>EX/EML</t>
  </si>
  <si>
    <t>LIGHT FIXTURE</t>
  </si>
  <si>
    <t>PORCH LIGHT</t>
  </si>
  <si>
    <t>OCCUPANCY SENSOR SWITCH</t>
  </si>
  <si>
    <t>EXIT/EMERGENCY LIGHT</t>
  </si>
  <si>
    <t>ELECTRICAL DUPLEX OUTLET</t>
  </si>
  <si>
    <t>GFI</t>
  </si>
  <si>
    <t>WP</t>
  </si>
  <si>
    <t>WEATHER PROOF</t>
  </si>
  <si>
    <t>EF</t>
  </si>
  <si>
    <t>EXHAUST FAN</t>
  </si>
  <si>
    <t>INSTANT WATER HEATER</t>
  </si>
  <si>
    <t>SP</t>
  </si>
  <si>
    <t>SERVICE PANEL</t>
  </si>
  <si>
    <t>HVAC</t>
  </si>
  <si>
    <t>HEATING AND AIR UNIT</t>
  </si>
  <si>
    <t>SBO</t>
  </si>
  <si>
    <t>SURGE BLOC DUPLEX OUTLET</t>
  </si>
  <si>
    <t>GROUND FAULT INTERRUPT OUTLET</t>
  </si>
  <si>
    <t>ADEQUATE DRAINAGE TO BE PROVIDED.</t>
  </si>
  <si>
    <t>AND ALL CONCRETE WORK ONSITE, TO INCLUDE POURED FOOTINGS, SLABS,</t>
  </si>
  <si>
    <t>FOUNDATIONS, SIDEWALKS, DRIVEWAYS OF WHATEVER KIND ARE THE</t>
  </si>
  <si>
    <t>SURGE PROTECT:</t>
  </si>
  <si>
    <t>SS</t>
  </si>
  <si>
    <t>MAIN SURGE SUPPRESSION</t>
  </si>
  <si>
    <t>DEDICATED OUTLET QUAD</t>
  </si>
  <si>
    <t>TRANSPORTATION:</t>
  </si>
  <si>
    <t>ROOF DECK</t>
  </si>
  <si>
    <t>TALLEST WALL</t>
  </si>
  <si>
    <t>FLOOR DECK</t>
  </si>
  <si>
    <t>FLOOR COVER</t>
  </si>
  <si>
    <t>FLOOR JOIST</t>
  </si>
  <si>
    <t>TO ROAD APPROX</t>
  </si>
  <si>
    <t>FT</t>
  </si>
  <si>
    <t>7/16</t>
  </si>
  <si>
    <t>2X8</t>
  </si>
  <si>
    <t>1/4"</t>
  </si>
  <si>
    <t>3/4"</t>
  </si>
  <si>
    <t>TOTAL</t>
  </si>
  <si>
    <t>APPROX.</t>
  </si>
  <si>
    <t>LBS</t>
  </si>
  <si>
    <t>DISCONNECT:</t>
  </si>
  <si>
    <t>EXTERIOR 60AMP WITHIN 6' OF GROUND.</t>
  </si>
  <si>
    <t>BULBS</t>
  </si>
  <si>
    <t>A</t>
  </si>
  <si>
    <t>DESCRIPTION</t>
  </si>
  <si>
    <t>32 WATT</t>
  </si>
  <si>
    <t>1. HANDICAP ACCESS TO BE PROVIDED PER 1994 TAS AS REQUIRED BY OTHERS.</t>
  </si>
  <si>
    <t>IDENTIFICATION</t>
  </si>
  <si>
    <t>BALANCE:</t>
  </si>
  <si>
    <t xml:space="preserve">VENTS: </t>
  </si>
  <si>
    <t>EFFICIENCY:</t>
  </si>
  <si>
    <t>OCCUPANTS</t>
  </si>
  <si>
    <t>CFM REQ'D EACH</t>
  </si>
  <si>
    <t>LIGHTS 2'X4' 3-TUBE T-8</t>
  </si>
  <si>
    <t>LIGHT 2'X2'  U-TUBE T-8</t>
  </si>
  <si>
    <t>TOTAL OUTSIDE REQD</t>
  </si>
  <si>
    <t>ENERGY CODE COMPLIANCE</t>
  </si>
  <si>
    <t>2'X2'- U TUBE FIXTURE IS 38 FIXTURE WATTS</t>
  </si>
  <si>
    <t>EXTERIOR LIGHT IS 13 WATT@860 LUMENS = 66 LUMEN PER WATT.</t>
  </si>
  <si>
    <t>FRESH AIR MAKEUP IS PROVIDED BY DAMPER IN HVAC.</t>
  </si>
  <si>
    <t>DOOR U VALUE IS DEFAULT .7</t>
  </si>
  <si>
    <t>C</t>
  </si>
  <si>
    <t>Unit length</t>
  </si>
  <si>
    <t>Unit width</t>
  </si>
  <si>
    <t>Bldg width</t>
  </si>
  <si>
    <t>Bldg length</t>
  </si>
  <si>
    <t>lf</t>
  </si>
  <si>
    <t>Building Area</t>
  </si>
  <si>
    <t>calc'd cells</t>
  </si>
  <si>
    <t>Building perimeter</t>
  </si>
  <si>
    <t>Unit SF</t>
  </si>
  <si>
    <t>Unit total sf</t>
  </si>
  <si>
    <t>Occupancy</t>
  </si>
  <si>
    <t>E</t>
  </si>
  <si>
    <t>Load</t>
  </si>
  <si>
    <t>Skirting 4x12 sheets</t>
  </si>
  <si>
    <t>waste @ 5%</t>
  </si>
  <si>
    <t>watts</t>
  </si>
  <si>
    <t>amps</t>
  </si>
  <si>
    <t>3-bulb fixtures</t>
  </si>
  <si>
    <t>Allowed Lighting 2003 IECC</t>
  </si>
  <si>
    <t>12" x 12" Vents</t>
  </si>
  <si>
    <t>Allowed Lighting 2006 IECC</t>
  </si>
  <si>
    <t>Ventilation Load "B"</t>
  </si>
  <si>
    <t>Ventilation Load "E"</t>
  </si>
  <si>
    <t>FRESH AIR</t>
  </si>
  <si>
    <t>CFM EA.</t>
  </si>
  <si>
    <t>input</t>
  </si>
  <si>
    <t>QTY 24"U</t>
  </si>
  <si>
    <t>TOTAL WATTS</t>
  </si>
  <si>
    <t>Office 1.3/sf</t>
  </si>
  <si>
    <t>Office 1/sf</t>
  </si>
  <si>
    <t>School/University 1.2/sf</t>
  </si>
  <si>
    <t>UNITS</t>
  </si>
  <si>
    <t>School/University 1.5/sf</t>
  </si>
  <si>
    <t>D</t>
  </si>
  <si>
    <t>F</t>
  </si>
  <si>
    <t>G</t>
  </si>
  <si>
    <t>I</t>
  </si>
  <si>
    <t>J</t>
  </si>
  <si>
    <t>K</t>
  </si>
  <si>
    <t>L</t>
  </si>
  <si>
    <t>M</t>
  </si>
  <si>
    <t>Axles</t>
  </si>
  <si>
    <t>Number of units</t>
  </si>
  <si>
    <t>total units</t>
  </si>
  <si>
    <t>total axles</t>
  </si>
  <si>
    <t>Beam length</t>
  </si>
  <si>
    <t>Weight per lf</t>
  </si>
  <si>
    <t>1/2 plus 1st 2'</t>
  </si>
  <si>
    <t>inches</t>
  </si>
  <si>
    <t>Min. Egress</t>
  </si>
  <si>
    <t>No Sprinklers</t>
  </si>
  <si>
    <t>BLOCKING NOTES:</t>
  </si>
  <si>
    <t>200AMP</t>
  </si>
  <si>
    <t>Allowed Lighting 2001 ASHARE 90.1</t>
  </si>
  <si>
    <t>Allowed lighting 2004 ASHARE 90.1</t>
  </si>
  <si>
    <t>INTERIOR:</t>
  </si>
  <si>
    <t>HARDWARE:</t>
  </si>
  <si>
    <t>FIXTURE UNITS</t>
  </si>
  <si>
    <t>WATER PIPING SIZE</t>
  </si>
  <si>
    <t>DRAINAGE SIZING</t>
  </si>
  <si>
    <t>WATER</t>
  </si>
  <si>
    <t>DRAIN</t>
  </si>
  <si>
    <t>DRINKING FOUNTAIN</t>
  </si>
  <si>
    <t>LAVITORY</t>
  </si>
  <si>
    <t>SINK</t>
  </si>
  <si>
    <t>FIXTURE</t>
  </si>
  <si>
    <t>FIXTURE UNIT</t>
  </si>
  <si>
    <t>LINE 1</t>
  </si>
  <si>
    <t>LINE 2</t>
  </si>
  <si>
    <t>LINE 3</t>
  </si>
  <si>
    <t>LINE 4</t>
  </si>
  <si>
    <t>LINE 5</t>
  </si>
  <si>
    <t>SERVICE SINK</t>
  </si>
  <si>
    <t>URINAL</t>
  </si>
  <si>
    <t>WATER CLOSET</t>
  </si>
  <si>
    <t>FOUNTAIN</t>
  </si>
  <si>
    <t>TOTAL UNITS</t>
  </si>
  <si>
    <t>3"</t>
  </si>
  <si>
    <t>4"</t>
  </si>
  <si>
    <t>WINDOWS ARE NFRC LABELED AS: U=.51 AND SHGC=.34 OR BETTER</t>
  </si>
  <si>
    <t>OUTLETS</t>
  </si>
  <si>
    <t>total tires</t>
  </si>
  <si>
    <t>weight per spacing in kps</t>
  </si>
  <si>
    <t>Unit "A"</t>
  </si>
  <si>
    <t>Unit "B"</t>
  </si>
  <si>
    <t>LOCATION OF DECALS: HITCH END ON EXTERIOR WALL, LEFT SIDE ON A METAL PLATE</t>
  </si>
  <si>
    <t>CODES:</t>
  </si>
  <si>
    <t>POLE</t>
  </si>
  <si>
    <t>CONNECTION LOAD</t>
  </si>
  <si>
    <t>CIRCUIT NO.</t>
  </si>
  <si>
    <t>WIRE</t>
  </si>
  <si>
    <t>HOT WATER HEATER</t>
  </si>
  <si>
    <t>A(AMPS)</t>
  </si>
  <si>
    <t>A(WATTS)</t>
  </si>
  <si>
    <t>VOLTS</t>
  </si>
  <si>
    <t>B(AMPS)</t>
  </si>
  <si>
    <t>B(WATTS)</t>
  </si>
  <si>
    <t>C(AMPS)</t>
  </si>
  <si>
    <t>C(WATTS)</t>
  </si>
  <si>
    <t>PHASE</t>
  </si>
  <si>
    <t>TOTAL A</t>
  </si>
  <si>
    <t>TOTAL B</t>
  </si>
  <si>
    <t>TOTAL C</t>
  </si>
  <si>
    <t>SIZE</t>
  </si>
  <si>
    <t>DEDICATED OUTLET</t>
  </si>
  <si>
    <t>TOTAL VOLTS = V x #LEGS</t>
  </si>
  <si>
    <t>PANEL "SP-2"</t>
  </si>
  <si>
    <t>#6 BARE GROUND</t>
  </si>
  <si>
    <t>CURRENTLY USING</t>
  </si>
  <si>
    <t>Project</t>
  </si>
  <si>
    <t>________________________________________________</t>
  </si>
  <si>
    <t>PE</t>
  </si>
  <si>
    <t>TDLR</t>
  </si>
  <si>
    <t>NO Code</t>
  </si>
  <si>
    <t>Designer</t>
  </si>
  <si>
    <t>_______________________________</t>
  </si>
  <si>
    <t>Drawings</t>
  </si>
  <si>
    <t>2x6</t>
  </si>
  <si>
    <t>2x8</t>
  </si>
  <si>
    <t>2x10</t>
  </si>
  <si>
    <t>________________________________</t>
  </si>
  <si>
    <t>Frames</t>
  </si>
  <si>
    <t>Qty</t>
  </si>
  <si>
    <t>Floor joist/rims</t>
  </si>
  <si>
    <t>Decking</t>
  </si>
  <si>
    <t>1/2"</t>
  </si>
  <si>
    <t>5/8"</t>
  </si>
  <si>
    <t>1 1/8"</t>
  </si>
  <si>
    <t>sheets</t>
  </si>
  <si>
    <t>ea</t>
  </si>
  <si>
    <t>Axles:</t>
  </si>
  <si>
    <t>Overlay</t>
  </si>
  <si>
    <t>1/4" H</t>
  </si>
  <si>
    <t>Walls</t>
  </si>
  <si>
    <t>9' ballon</t>
  </si>
  <si>
    <t>10' ballon</t>
  </si>
  <si>
    <t>9'-1 1/8</t>
  </si>
  <si>
    <t>10'-1 1/8"</t>
  </si>
  <si>
    <t xml:space="preserve">Plenum wall </t>
  </si>
  <si>
    <t>yes</t>
  </si>
  <si>
    <t>no</t>
  </si>
  <si>
    <t>7/16" MULE-HIDE FR DECK PANEL C</t>
  </si>
  <si>
    <t>ACRYLIC WATER BASED BONDING ADHESIVE</t>
  </si>
  <si>
    <t>.25/12 TRANSVERSE</t>
  </si>
  <si>
    <t>WATER SUPPLY:</t>
  </si>
  <si>
    <t>WASTE:</t>
  </si>
  <si>
    <t>WATER HEATER:</t>
  </si>
  <si>
    <t>WATER CLOSET:</t>
  </si>
  <si>
    <t>LAVITORY:</t>
  </si>
  <si>
    <t>BAR SINK:</t>
  </si>
  <si>
    <t>ACCESSORIES:</t>
  </si>
  <si>
    <t xml:space="preserve">NOTE:           </t>
  </si>
  <si>
    <t>BRAND: BARD</t>
  </si>
  <si>
    <t>ADA: TAS 1994</t>
  </si>
  <si>
    <t>1" ABOVE INSULATION</t>
  </si>
  <si>
    <t>N'A</t>
  </si>
  <si>
    <t>48" O.C.</t>
  </si>
  <si>
    <t>12" JR. I-BEAM</t>
  </si>
  <si>
    <t>DETACHABLE HITCH</t>
  </si>
  <si>
    <t>HEAVY</t>
  </si>
  <si>
    <t>STUDS 2X4 #2SYP 16" O.C.</t>
  </si>
  <si>
    <t>FIRE BLOCKS: 2X4 ON EDGE AT CEILING LINE</t>
  </si>
  <si>
    <t>R-22 FACED</t>
  </si>
  <si>
    <t>2000 LBS</t>
  </si>
  <si>
    <t>SIDEWALL HEIGHT: 10'-1 1/8"</t>
  </si>
  <si>
    <t>TOP PLATES: DOUBLE 2X4 #3SPF MIN.</t>
  </si>
  <si>
    <t>BOTTOM PLATE:  SINGLE 2X4 #2SPF MIN.</t>
  </si>
  <si>
    <t xml:space="preserve">STUDS: 2X4 #2SYP 16"O.C. </t>
  </si>
  <si>
    <t>WALL HIEGHT: 10'-1 1/8"</t>
  </si>
  <si>
    <t>BOTTOM PLATE: SINGLE 2X4 #2SPF MIN.</t>
  </si>
  <si>
    <t>TOP PLATES: DOUBLE 2X4 #2SPF MIN.</t>
  </si>
  <si>
    <t>5/8" GREEN BOARD AT RESTROOM COVERED WITH FRP (2) WALLS</t>
  </si>
  <si>
    <t>MODEL</t>
  </si>
  <si>
    <t>Plumbing fixtures</t>
  </si>
  <si>
    <t>water closets</t>
  </si>
  <si>
    <t>Office</t>
  </si>
  <si>
    <t>lavitories</t>
  </si>
  <si>
    <t>Education</t>
  </si>
  <si>
    <t>Occupants</t>
  </si>
  <si>
    <t>Qty Reqd</t>
  </si>
  <si>
    <t>WC Office</t>
  </si>
  <si>
    <t>Lav Office</t>
  </si>
  <si>
    <t>WC Educ.</t>
  </si>
  <si>
    <t>Lav Educ.</t>
  </si>
  <si>
    <t>Fountain</t>
  </si>
  <si>
    <t>Service Sink</t>
  </si>
  <si>
    <t>Drinking Fountains</t>
  </si>
  <si>
    <t>Try your quantities here to see if will work.</t>
  </si>
  <si>
    <t>Calculated Plumbing Requirements</t>
  </si>
  <si>
    <t>50% men 50% women</t>
  </si>
  <si>
    <t>1-ton</t>
  </si>
  <si>
    <t>Office Urinal Allowance</t>
  </si>
  <si>
    <t>Education Urinal Allowance</t>
  </si>
  <si>
    <t>Building width:</t>
  </si>
  <si>
    <t>Building length:</t>
  </si>
  <si>
    <t>Number units:</t>
  </si>
  <si>
    <t>Total SF:</t>
  </si>
  <si>
    <t>IBC Occupants:</t>
  </si>
  <si>
    <t>Ventilation Occupancy:</t>
  </si>
  <si>
    <t>Ventilation CFM Reqd:</t>
  </si>
  <si>
    <t>DESIGN SUMMATION</t>
  </si>
  <si>
    <t>Occupancy Group:</t>
  </si>
  <si>
    <t>Codes:</t>
  </si>
  <si>
    <t>Design Loads:</t>
  </si>
  <si>
    <t>Roof:</t>
  </si>
  <si>
    <t>Floor:</t>
  </si>
  <si>
    <t>Conc. Floor</t>
  </si>
  <si>
    <t>Wind:</t>
  </si>
  <si>
    <t>Exposure:</t>
  </si>
  <si>
    <t>Sesmic:</t>
  </si>
  <si>
    <t>Light Allowance:</t>
  </si>
  <si>
    <t>3-Bulb Fixtures</t>
  </si>
  <si>
    <t>Water Closets:</t>
  </si>
  <si>
    <t>Lavitories:</t>
  </si>
  <si>
    <t>Water Fountains:</t>
  </si>
  <si>
    <t>Service Sinks:</t>
  </si>
  <si>
    <t>Skirting 4'x12' sheets:</t>
  </si>
  <si>
    <t>Skirting vents req'd:</t>
  </si>
  <si>
    <t>Approx. Unit Weight:</t>
  </si>
  <si>
    <t>Approx. Building Weight:</t>
  </si>
  <si>
    <t>Urinals</t>
  </si>
  <si>
    <t>HEIGHT</t>
  </si>
  <si>
    <t>DEPTH</t>
  </si>
  <si>
    <t>SUPPLY</t>
  </si>
  <si>
    <t>RETURN</t>
  </si>
  <si>
    <t>30 1/8"</t>
  </si>
  <si>
    <t>14 5/8"</t>
  </si>
  <si>
    <t>46"</t>
  </si>
  <si>
    <t>10X17</t>
  </si>
  <si>
    <t>WIDTH-FLANGE</t>
  </si>
  <si>
    <t>WA121-A05</t>
  </si>
  <si>
    <t>SEER</t>
  </si>
  <si>
    <t>WA182-A10</t>
  </si>
  <si>
    <t>WA242-A10</t>
  </si>
  <si>
    <t>2 1/2-ton</t>
  </si>
  <si>
    <t>WA302-A10</t>
  </si>
  <si>
    <t>WA372-A10</t>
  </si>
  <si>
    <t>WA423-A10</t>
  </si>
  <si>
    <t>WA484-A10</t>
  </si>
  <si>
    <t>WA602-A10</t>
  </si>
  <si>
    <t>WEIGHT</t>
  </si>
  <si>
    <t>#10</t>
  </si>
  <si>
    <t>EER</t>
  </si>
  <si>
    <t>#6</t>
  </si>
  <si>
    <t>30X10</t>
  </si>
  <si>
    <t>28X8</t>
  </si>
  <si>
    <t>16X30</t>
  </si>
  <si>
    <t>14X28</t>
  </si>
  <si>
    <t>20X8</t>
  </si>
  <si>
    <t>12X20</t>
  </si>
  <si>
    <t>33.3"</t>
  </si>
  <si>
    <t>38.2"</t>
  </si>
  <si>
    <t>42.075"</t>
  </si>
  <si>
    <t>70.563"</t>
  </si>
  <si>
    <t>84.875"</t>
  </si>
  <si>
    <t>17.125"</t>
  </si>
  <si>
    <t>22.432"</t>
  </si>
  <si>
    <t>AMP LOADS</t>
  </si>
  <si>
    <t>INSIDE DIM.</t>
  </si>
  <si>
    <t>MAX FRESH</t>
  </si>
  <si>
    <t>DAMPER</t>
  </si>
  <si>
    <t>OPEN</t>
  </si>
  <si>
    <t>PSF</t>
  </si>
  <si>
    <t>Unit Dead weight</t>
  </si>
  <si>
    <t>Unit with Live Loads</t>
  </si>
  <si>
    <t>FA check</t>
  </si>
  <si>
    <t>8" Supply Grills</t>
  </si>
  <si>
    <t>W/INSUL</t>
  </si>
  <si>
    <t>22X10</t>
  </si>
  <si>
    <t>32X12</t>
  </si>
  <si>
    <t>CENTER AFF</t>
  </si>
  <si>
    <t>10'-1 1/8" WALLS</t>
  </si>
  <si>
    <t>9'-4 5/8" (1/2" T&amp;B CLR)</t>
  </si>
  <si>
    <t>9'-3 5/8" (1/2" T&amp;B CLR)</t>
  </si>
  <si>
    <t>9'-6 1/8" (1/2" T&amp;B CLR)</t>
  </si>
  <si>
    <t>6'-9 7/16"(1/2"T&amp;B CLR)</t>
  </si>
  <si>
    <t>6'-11 7/16"(1/2"T&amp;B CLR)</t>
  </si>
  <si>
    <t>5'-7 15/16"(1/2" t&amp;b CLR)</t>
  </si>
  <si>
    <t>8'-5 5/8" (1/2" T&amp;B CLR)</t>
  </si>
  <si>
    <t>COINS OPNG</t>
  </si>
  <si>
    <t>23X11</t>
  </si>
  <si>
    <t>31x11</t>
  </si>
  <si>
    <t>31X11</t>
  </si>
  <si>
    <t>33X13</t>
  </si>
  <si>
    <t>OPNG HEAD</t>
  </si>
  <si>
    <t>9'-10 1/8"</t>
  </si>
  <si>
    <t>19X7</t>
  </si>
  <si>
    <t>17X5</t>
  </si>
  <si>
    <t>RETURN W/1/2"</t>
  </si>
  <si>
    <t>11x18</t>
  </si>
  <si>
    <t>13x20</t>
  </si>
  <si>
    <t>15x29</t>
  </si>
  <si>
    <t>17x31</t>
  </si>
  <si>
    <t>8'-11 1/8"</t>
  </si>
  <si>
    <t>7'-3 15/16"</t>
  </si>
  <si>
    <t>7'-6 15/16"</t>
  </si>
  <si>
    <t>6'-4 7/16"</t>
  </si>
  <si>
    <t>CFM "B"</t>
  </si>
  <si>
    <t>CFM "E"</t>
  </si>
  <si>
    <t>Office 1.0/sf(1.1 bysection)</t>
  </si>
  <si>
    <t>Axles needed PER UNIT:</t>
  </si>
  <si>
    <t>INPUT THE "AMPS ONLY) WATTS ARE CALCULATED.</t>
  </si>
  <si>
    <t>Project:</t>
  </si>
  <si>
    <t>NEW CODES OCT.</t>
  </si>
  <si>
    <t xml:space="preserve">(130 MPH 3-SEC GUST) </t>
  </si>
  <si>
    <t>FRP: 4' (MIN.)WAINSCOT AT RESTROOM (2) WALLS</t>
  </si>
  <si>
    <t>INSULATION: R-15 THROUGHOUT.</t>
  </si>
  <si>
    <t>ELECTRICAL: NEC-2008</t>
  </si>
  <si>
    <t>BUILDING: IBC-2006</t>
  </si>
  <si>
    <t>MECHANICAL: IMC-2006</t>
  </si>
  <si>
    <t>ENERGY: IEEC-2006</t>
  </si>
  <si>
    <t>2. BUILDING TO BE LOCATED PER  TABLE 602 OF THE 2006 IBC.</t>
  </si>
  <si>
    <t>4. WATER FOUNTAIN SHALL BE FURNISHED BY OTHERS PER IPC-2006 TABLE 403.1.</t>
  </si>
  <si>
    <t>2. CRAWL SPACE VENTILATION PROVIDED BY SITE INSTALLER PER 1203.3.1 OF 2006 IBC.</t>
  </si>
  <si>
    <t>0</t>
  </si>
  <si>
    <t xml:space="preserve">  </t>
  </si>
  <si>
    <t>LVL TAPER MATE BEAM</t>
  </si>
  <si>
    <t>1.9 LVL</t>
  </si>
  <si>
    <t>NETTING</t>
  </si>
  <si>
    <t>GFCI 120V STD. DUPLEX RECEPTACLES</t>
  </si>
  <si>
    <t xml:space="preserve"> W.P. EXT. GFCI 120V RECEPTACLE</t>
  </si>
  <si>
    <t>GROUNDING ON SITE TO BE PER NEC 2008, 250-96</t>
  </si>
  <si>
    <t>DOUBLE 2X6 #2SYP(MIN.) W/ 7/16" FILLER</t>
  </si>
  <si>
    <t>COVERING: ALUMINUM MINI-BLINDS</t>
  </si>
  <si>
    <t>MIN. ENERGY VALUES: U-FACTOR =.51 SHGC=.34</t>
  </si>
  <si>
    <t>PULL PLATES ROCKWOOD #107 x 70C X US28</t>
  </si>
  <si>
    <t>PEMCO THRESHOLD 170A-36</t>
  </si>
  <si>
    <t>PEMKO SWEEP 315CN-36</t>
  </si>
  <si>
    <t>NO VISION PANEL AT BATHROOM DOORS</t>
  </si>
  <si>
    <t xml:space="preserve"> PROGRAMABLE</t>
  </si>
  <si>
    <t>24X24GRILLS TO A 28X8 DUCT RETURN TO PLENUM.</t>
  </si>
  <si>
    <t>2 PLEX</t>
  </si>
  <si>
    <t>3 PLEX</t>
  </si>
  <si>
    <t>4 PLEX</t>
  </si>
  <si>
    <t>5 PLEX</t>
  </si>
  <si>
    <t>6 PLEX</t>
  </si>
  <si>
    <t>7 PLEX</t>
  </si>
  <si>
    <t>8 PLEX</t>
  </si>
  <si>
    <t>TYPE</t>
  </si>
  <si>
    <t>6 TONS</t>
  </si>
  <si>
    <t>12 TONS</t>
  </si>
  <si>
    <t>18 TONS</t>
  </si>
  <si>
    <t>15 TONS</t>
  </si>
  <si>
    <t>9 TONS</t>
  </si>
  <si>
    <t>21 TONS</t>
  </si>
  <si>
    <t>24 TONS</t>
  </si>
  <si>
    <t>KW HEAT</t>
  </si>
  <si>
    <t>OUTSIDE CFM REQUIRED</t>
  </si>
  <si>
    <t>VENTILATION OCCUPANCY</t>
  </si>
  <si>
    <t>UNIT WEIGHT APPROX.</t>
  </si>
  <si>
    <t>$o</t>
  </si>
  <si>
    <t>SINGLE POLE SWITCH</t>
  </si>
  <si>
    <t>2-bulb fixtures</t>
  </si>
  <si>
    <t>GFI-1</t>
  </si>
  <si>
    <t>2 TUBE LIGHT FIXTURE IS 68 FIXTURE WATTS</t>
  </si>
  <si>
    <t>1 1/2 " NIPPLE DOWN METAL</t>
  </si>
  <si>
    <t>QTY 2-TUBE</t>
  </si>
  <si>
    <t>L1</t>
  </si>
  <si>
    <t>2'x4' 2-BULB LIGHT FIXTURE</t>
  </si>
  <si>
    <t>2'x2' U BULB FIXTURE</t>
  </si>
  <si>
    <t>L2</t>
  </si>
  <si>
    <t>STD. 120V DUPLEX TAMPER PROOF RECEP.</t>
  </si>
  <si>
    <t>120/240V OR 120/208 SINGLE PHASE PER ONSITE REQ.</t>
  </si>
  <si>
    <t>2-PLEX COMCHECK CERTIFICATES TO BE USED AS CHECKLIST.</t>
  </si>
  <si>
    <t>COMCHECK WILL BE USED ON 2-PLEX UNIT, THE VARIOUS COMBINATIONS WILL FALL UNDER LOCAL JURISDICTION.</t>
  </si>
  <si>
    <t>PSF (SEE S-101 FOR 50 LB SPACING)</t>
  </si>
  <si>
    <t>2'-1"</t>
  </si>
  <si>
    <t>DESIGNED FOR CLIMATE ZONE 3A</t>
  </si>
  <si>
    <t>1-1/2" R-6 DUCT BOARD</t>
  </si>
  <si>
    <t>SA1</t>
  </si>
  <si>
    <t>SA2</t>
  </si>
  <si>
    <t>24"X24" GRILL W/6" FLEX</t>
  </si>
  <si>
    <t>24"X24" GRILL W/8" FLEX</t>
  </si>
  <si>
    <t>RA1</t>
  </si>
  <si>
    <t>RA2</t>
  </si>
  <si>
    <t>RA3</t>
  </si>
  <si>
    <t>24"X24" GRILL W/12" FLEX</t>
  </si>
  <si>
    <t>T</t>
  </si>
  <si>
    <t>PROGRAMABLE THERMOSTAT</t>
  </si>
  <si>
    <t xml:space="preserve">HVAC </t>
  </si>
  <si>
    <t>3-TON BARD(WA372-A10) W/10KW</t>
  </si>
  <si>
    <t>EXH</t>
  </si>
  <si>
    <t>COLOR: HAMPTON GRAY</t>
  </si>
  <si>
    <t>THESE PLAN ARE FOR UNITS NOA,NOR,NOO,NOC.</t>
  </si>
  <si>
    <t>EACH UNIT IS 825SF. THEY CAN BE CONSTRUCTED WITH THE NOA AND THE NOR BEING THE UNITS WITH EXTERIOR WALLS AND THE NOO AND NOC BEING THE CENTER UNITS.</t>
  </si>
  <si>
    <t>NOR</t>
  </si>
  <si>
    <t>NOO</t>
  </si>
  <si>
    <t>NOC</t>
  </si>
  <si>
    <t>HEAT</t>
  </si>
  <si>
    <t>AIR</t>
  </si>
  <si>
    <t>HVAC CALC</t>
  </si>
  <si>
    <t>TONNAGE</t>
  </si>
  <si>
    <t>BTUH</t>
  </si>
  <si>
    <t>8-PLEX HEAT AND AIR</t>
  </si>
  <si>
    <t>2-BULB</t>
  </si>
  <si>
    <t>24U</t>
  </si>
  <si>
    <t>LIFGT</t>
  </si>
  <si>
    <t>7-PLEX HEAT AND AIR</t>
  </si>
  <si>
    <t>6-PLEX HEAT AND AIR</t>
  </si>
  <si>
    <t>5-PLEX HEAT AND AIR</t>
  </si>
  <si>
    <t>4-PLEX HEAT AND AIR</t>
  </si>
  <si>
    <t>3-PLEX HEAT AND AIR</t>
  </si>
  <si>
    <t>2-PLEX HEAT AND AIR</t>
  </si>
  <si>
    <t>5-PLEX alt. HEAT AND AIR</t>
  </si>
  <si>
    <t>PLUMBING: IPC-2006</t>
  </si>
  <si>
    <t>48" T-8 (2) TUBE 32 WATT FLOUR. FIXTURES (58 FIXTUREWATTS)</t>
  </si>
  <si>
    <t>14'-10"</t>
  </si>
  <si>
    <t>6. HANDICAP RESTROOMS PROVIDED BY OTHERS PER IPC-2006 TABLE 403.1</t>
  </si>
  <si>
    <t>JJ</t>
  </si>
  <si>
    <t>LIGHTS 2'X4' 2-TUBE T-8</t>
  </si>
  <si>
    <t>(SP1) 100A PANEL</t>
  </si>
  <si>
    <t>(SP2 &amp; 3) 100A PANEL</t>
  </si>
  <si>
    <t>WEATHERHEADS:</t>
  </si>
  <si>
    <t>120V SINGLE POLE SWITCH, 3WAY AND DIMMER WHERE SHOWN.</t>
  </si>
  <si>
    <t>2x 3/4"</t>
  </si>
  <si>
    <t>1856 WIDE TEX</t>
  </si>
  <si>
    <t>W/BRAKES ON THREE AXLES, DRAG ON THREE</t>
  </si>
  <si>
    <t>1/4" FIBEROCK - 95% RECYCLED CONTENT</t>
  </si>
  <si>
    <t>PVC SCHEDULE 40 (MULTIPLE DROPS)</t>
  </si>
  <si>
    <t>COMCHECK AREA</t>
  </si>
  <si>
    <t>(1)ENDWALL = 17'-9" X 10'-1 1/8" = 179 SF</t>
  </si>
  <si>
    <t>(1)SIDEWALL = 56' X 10'-1 1/8" = 566 SF</t>
  </si>
  <si>
    <t>SIDEWALL X 2= 1132 SF + ENDWALL X 6 = 358 SF FOR A TOTAL OF 1490 SF</t>
  </si>
  <si>
    <t>5. ELECT. GROUNDING TO BE DONE IN THE FIELD BY OTHERS, FRAME TO FRAME &amp; FRAME TO GROUND.</t>
  </si>
  <si>
    <t>LEVER HANDLES AT OFFICES W/ ENTRY HARDWARE, NO CLOSURERS</t>
  </si>
  <si>
    <t>LEVER HANDLES AT RR WITH PRIVACY LATCH, NO CLOSURERS</t>
  </si>
  <si>
    <t>35% RECYCLED CONTENT</t>
  </si>
  <si>
    <t>2 X 3/4" T&amp;G DRYGUARD</t>
  </si>
  <si>
    <t xml:space="preserve">1/8" VCT: WHITE #51899         - FLOORSCORE RECYCLED </t>
  </si>
  <si>
    <t>4" RUBBER: COLOR= GREY - 6" IN RR RECYCLED CONTENT 10%</t>
  </si>
  <si>
    <t>FIRE BLOCK: OPTIONAL 2X4 ON EDGE AT CEILING LINE. N/A IF ROCK GOES TO TOP PLATE.</t>
  </si>
  <si>
    <t xml:space="preserve">INSULATION: R-15 FACED </t>
  </si>
  <si>
    <t>SHEATHING: 7/16" OSB ENDWALLS</t>
  </si>
  <si>
    <t>SIDING: 3/8" SMART PANEL WOOD SIDING</t>
  </si>
  <si>
    <t>TRIM: 1X4 SMART PANEL WOOD</t>
  </si>
  <si>
    <t>COVERING: 5/8" FIRE-X VCG 50% RECYCLED CONTENT</t>
  </si>
  <si>
    <t>20 GA. METAL. FRAME - INSULATED- RECYCLED CONTENT 39%</t>
  </si>
  <si>
    <t xml:space="preserve">WHITE REFLECTIVE STD .045 MULE-HIDE EPDM ADHERED W/ MULE-HIDE </t>
  </si>
  <si>
    <t>TRUSSES:</t>
  </si>
  <si>
    <t>1.9e LVL  14 1/4" TAPER T0 7 1/4"</t>
  </si>
  <si>
    <t>MC #12,#10 E-MAX,#6 AT HVAC ALL COPPER 20% RECYCLED CONTENT</t>
  </si>
  <si>
    <t>PHOTO CELL EXTERIOR LIGHT- FULLY SHEILDED FLUORESCENT</t>
  </si>
  <si>
    <t>TYPE "L" COPPER - 20% RECYCLED CONTENT</t>
  </si>
  <si>
    <t>H/C WALL MOUNTS RR W/ WATER SAVING AERATOR</t>
  </si>
  <si>
    <t>15X15 S.S.  MOUNTED IN CTRTP W/ WATER SAVING AERATOR</t>
  </si>
  <si>
    <t>DUCT BOARD MAIN, FLEX TO GRILLS IN UNCOND. SPACE. R-6 MIN. VALUE.</t>
  </si>
  <si>
    <t>RECYCLED CONTENT</t>
  </si>
  <si>
    <t>CASEWORK:  (2'-0") BASE CABINETS/ (5') CTRTP AND OVERHEADS</t>
  </si>
  <si>
    <t xml:space="preserve"> EXIT/EMEG. COMBO LIGHT OR EMEG. BATTERY BACK UP AS SHOWN.</t>
  </si>
  <si>
    <t>FRAME / CHASSIS 99% RECYCLED CONTENT:</t>
  </si>
  <si>
    <t>35% RECYCLED CONTENT GREEN GUARD</t>
  </si>
  <si>
    <t>2X8 #2SYP 16" O.C.</t>
  </si>
  <si>
    <t>PORTER LITE</t>
  </si>
  <si>
    <t>DEADBOLT TELL GRADE 2 W/ INTERCHANGABLE CORE</t>
  </si>
  <si>
    <t>125 AMP (AS SHOWN) , INT MOUNT LOAD CNT. W/ #6 BARE GROUND</t>
  </si>
  <si>
    <t>90 CFM EXHAUST</t>
  </si>
  <si>
    <t>ALL PLATES TO BE IVORY (EXCEPT RR)</t>
  </si>
  <si>
    <t>ELONGATED H/C  1.6 GPF WATER SAVER</t>
  </si>
  <si>
    <t>(1) 3  TON W/10KW  W/ 60AMP W/ R410A RFG NO CFC's 60AMP DISCONNECT</t>
  </si>
  <si>
    <t>SEER 10.6, EER 9.0 &gt; MINUMUM SEER 9.7 PER 2006 IECC TABLE 503.2.(1)</t>
  </si>
  <si>
    <t>36X80 18GA STEEL  26% RECYCLED CONTENT</t>
  </si>
  <si>
    <t xml:space="preserve">OFFICES 22OZ CARPET TILES           CONTENT CRI GRN LABLE + </t>
  </si>
  <si>
    <t>TBA</t>
  </si>
  <si>
    <t>RESONSIBILITY OF CUSTOMER</t>
  </si>
  <si>
    <t>DECALS:  TDLR, MANUFACTERS DATA PLATE, DRA,MBI.</t>
  </si>
  <si>
    <t>2X8 #2SYP OR BETTER AT 16" O.C.</t>
  </si>
  <si>
    <t>2X8 #2SYP OR BETTER</t>
  </si>
  <si>
    <t>INTERIOR WALLS (ALL FULL HEIGHT TO RAFTERS):</t>
  </si>
  <si>
    <t>COLOR: TAN OR GREY TO MATCH EXTERIOR COLOR</t>
  </si>
  <si>
    <t>SYSTEM TO BE BALANCED IN THE FIELD BY CUSTOMER.</t>
  </si>
  <si>
    <t>MODULAR OFFICE COMPLEX</t>
  </si>
  <si>
    <t>1. TIE DOWN/BLOCKING/ANCHORING: IN ACCORDANCE WITH STRUCTURAL ENGINEERS DESIGN</t>
  </si>
  <si>
    <t>SIZE/TYPE:  24X48  V.S. VINYL FRAME/CLEAR LOW E -ENERGY STAR CERTIFIED</t>
  </si>
  <si>
    <t>COLOR GRAY</t>
  </si>
  <si>
    <t>TELL GUARD 1 NORTON CLOSER</t>
  </si>
  <si>
    <t>SET PEMKO WEATHERSTRIP 303AV-3070</t>
  </si>
  <si>
    <t>36X80 REDI-FRAME  26%R.C. AND SC WOOD DOORS W/ 7X22 VISION PANEL</t>
  </si>
  <si>
    <t>8'-6" HGT IN OFFICE AREAS, 2X4 PANELS 32% RECYCLED CONTENT</t>
  </si>
  <si>
    <t>(2) LAYERS R-15 (1 LAYER FACED TOWARD WARM SIDE) 35% RECYCLED CONTENT</t>
  </si>
  <si>
    <t>ON DEMAND WATER HEATER - ENERGY EFFICIENT</t>
  </si>
  <si>
    <t>J BOXES IN WALL STUBBED ABOVE CEILING 3/4" CONDUIT</t>
  </si>
  <si>
    <t>3. ANY REQUIRED ALARM SYSTEM WILL BE OPTIONAL.</t>
  </si>
  <si>
    <t>NOT INCLUDED IN SCOPE OF WORK (OPTIONAL ITEMS)</t>
  </si>
  <si>
    <t>SITE WORK (OPTIONAL ITEMS)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</si>
</sst>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 Black"/>
      <family val="2"/>
    </font>
    <font>
      <u/>
      <sz val="8"/>
      <name val="Arial"/>
      <family val="2"/>
    </font>
    <font>
      <u/>
      <sz val="10"/>
      <name val="Arial Black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7" xfId="0" applyBorder="1"/>
    <xf numFmtId="0" fontId="2" fillId="0" borderId="0" xfId="0" applyFont="1" applyBorder="1" applyAlignment="1">
      <alignment horizontal="right"/>
    </xf>
    <xf numFmtId="0" fontId="2" fillId="0" borderId="6" xfId="0" applyFont="1" applyFill="1" applyBorder="1"/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1" applyNumberFormat="1" applyFont="1"/>
    <xf numFmtId="0" fontId="0" fillId="0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43" fontId="0" fillId="0" borderId="0" xfId="1" applyNumberFormat="1" applyFont="1"/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right"/>
    </xf>
    <xf numFmtId="0" fontId="8" fillId="0" borderId="0" xfId="0" applyFont="1"/>
    <xf numFmtId="0" fontId="7" fillId="0" borderId="1" xfId="0" applyFont="1" applyBorder="1"/>
    <xf numFmtId="0" fontId="7" fillId="0" borderId="0" xfId="0" applyFont="1"/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0" fillId="2" borderId="0" xfId="0" applyFill="1"/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4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12" fontId="2" fillId="0" borderId="0" xfId="0" applyNumberFormat="1" applyFont="1"/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9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/>
    <xf numFmtId="0" fontId="0" fillId="3" borderId="0" xfId="0" applyFill="1"/>
    <xf numFmtId="0" fontId="0" fillId="0" borderId="0" xfId="0" applyFill="1" applyBorder="1"/>
    <xf numFmtId="0" fontId="0" fillId="0" borderId="5" xfId="0" applyBorder="1"/>
    <xf numFmtId="0" fontId="0" fillId="0" borderId="0" xfId="0" applyAlignme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5" xfId="0" applyFont="1" applyBorder="1"/>
    <xf numFmtId="0" fontId="0" fillId="2" borderId="15" xfId="0" applyFill="1" applyBorder="1" applyAlignment="1">
      <alignment horizontal="center"/>
    </xf>
    <xf numFmtId="0" fontId="7" fillId="0" borderId="0" xfId="0" applyFont="1" applyFill="1" applyBorder="1"/>
    <xf numFmtId="0" fontId="12" fillId="2" borderId="1" xfId="0" applyFont="1" applyFill="1" applyBorder="1"/>
    <xf numFmtId="0" fontId="9" fillId="4" borderId="16" xfId="0" applyFont="1" applyFill="1" applyBorder="1" applyAlignment="1" applyProtection="1">
      <alignment horizontal="center"/>
      <protection locked="0"/>
    </xf>
    <xf numFmtId="0" fontId="12" fillId="2" borderId="16" xfId="0" applyFont="1" applyFill="1" applyBorder="1"/>
    <xf numFmtId="0" fontId="7" fillId="0" borderId="0" xfId="0" applyFont="1" applyAlignment="1"/>
    <xf numFmtId="0" fontId="0" fillId="0" borderId="0" xfId="0" applyAlignment="1">
      <alignment wrapText="1"/>
    </xf>
    <xf numFmtId="0" fontId="3" fillId="0" borderId="9" xfId="0" applyFont="1" applyBorder="1" applyAlignment="1">
      <alignment horizontal="left"/>
    </xf>
    <xf numFmtId="0" fontId="0" fillId="0" borderId="5" xfId="0" applyBorder="1" applyAlignment="1">
      <alignment wrapText="1"/>
    </xf>
    <xf numFmtId="0" fontId="3" fillId="0" borderId="9" xfId="0" applyFont="1" applyBorder="1"/>
    <xf numFmtId="0" fontId="7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0" xfId="0" applyFont="1" applyBorder="1" applyAlignment="1">
      <alignment horizontal="right"/>
    </xf>
    <xf numFmtId="0" fontId="13" fillId="0" borderId="0" xfId="0" applyFont="1" applyBorder="1" applyAlignment="1">
      <alignment horizontal="center"/>
    </xf>
    <xf numFmtId="0" fontId="7" fillId="0" borderId="1" xfId="0" applyFont="1" applyFill="1" applyBorder="1"/>
    <xf numFmtId="0" fontId="0" fillId="0" borderId="1" xfId="0" applyNumberFormat="1" applyBorder="1" applyAlignment="1">
      <alignment horizontal="center"/>
    </xf>
    <xf numFmtId="0" fontId="0" fillId="0" borderId="17" xfId="0" applyFill="1" applyBorder="1"/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10" fontId="3" fillId="0" borderId="0" xfId="2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left"/>
      <protection locked="0"/>
    </xf>
    <xf numFmtId="0" fontId="7" fillId="3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7" xfId="0" applyFont="1" applyBorder="1"/>
    <xf numFmtId="0" fontId="3" fillId="0" borderId="6" xfId="0" applyFont="1" applyBorder="1"/>
    <xf numFmtId="0" fontId="1" fillId="0" borderId="6" xfId="0" applyFont="1" applyBorder="1"/>
    <xf numFmtId="0" fontId="1" fillId="0" borderId="6" xfId="0" applyFont="1" applyBorder="1" applyAlignment="1"/>
    <xf numFmtId="0" fontId="1" fillId="0" borderId="0" xfId="0" applyFont="1" applyBorder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6" xfId="0" applyNumberFormat="1" applyFont="1" applyBorder="1"/>
    <xf numFmtId="49" fontId="13" fillId="0" borderId="6" xfId="0" applyNumberFormat="1" applyFont="1" applyBorder="1" applyAlignment="1">
      <alignment horizontal="left"/>
    </xf>
    <xf numFmtId="49" fontId="13" fillId="0" borderId="0" xfId="0" applyNumberFormat="1" applyFont="1" applyBorder="1" applyAlignment="1">
      <alignment horizontal="left"/>
    </xf>
    <xf numFmtId="49" fontId="1" fillId="0" borderId="8" xfId="0" applyNumberFormat="1" applyFont="1" applyBorder="1"/>
    <xf numFmtId="49" fontId="1" fillId="0" borderId="9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13" fillId="0" borderId="0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Fill="1" applyBorder="1"/>
    <xf numFmtId="0" fontId="1" fillId="0" borderId="6" xfId="0" applyFont="1" applyFill="1" applyBorder="1"/>
    <xf numFmtId="0" fontId="1" fillId="0" borderId="4" xfId="0" applyFont="1" applyBorder="1" applyAlignment="1">
      <alignment horizontal="right"/>
    </xf>
    <xf numFmtId="49" fontId="1" fillId="0" borderId="1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4" fillId="0" borderId="8" xfId="0" applyFont="1" applyBorder="1" applyAlignment="1">
      <alignment horizontal="left"/>
    </xf>
    <xf numFmtId="0" fontId="2" fillId="0" borderId="0" xfId="0" applyFont="1" applyBorder="1" applyAlignment="1"/>
    <xf numFmtId="0" fontId="2" fillId="0" borderId="7" xfId="0" applyFont="1" applyBorder="1" applyAlignment="1"/>
    <xf numFmtId="0" fontId="2" fillId="0" borderId="5" xfId="0" applyFont="1" applyBorder="1" applyAlignment="1"/>
    <xf numFmtId="0" fontId="2" fillId="0" borderId="7" xfId="0" applyFont="1" applyFill="1" applyBorder="1" applyAlignment="1"/>
    <xf numFmtId="0" fontId="5" fillId="0" borderId="0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Alignment="1">
      <alignment horizontal="left"/>
    </xf>
    <xf numFmtId="0" fontId="9" fillId="7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11" fillId="2" borderId="3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20</xdr:row>
      <xdr:rowOff>38100</xdr:rowOff>
    </xdr:from>
    <xdr:to>
      <xdr:col>9</xdr:col>
      <xdr:colOff>66675</xdr:colOff>
      <xdr:row>20</xdr:row>
      <xdr:rowOff>161925</xdr:rowOff>
    </xdr:to>
    <xdr:sp macro="" textlink="">
      <xdr:nvSpPr>
        <xdr:cNvPr id="2049" name="Rectangle 1"/>
        <xdr:cNvSpPr>
          <a:spLocks noChangeArrowheads="1"/>
        </xdr:cNvSpPr>
      </xdr:nvSpPr>
      <xdr:spPr bwMode="auto">
        <a:xfrm>
          <a:off x="3314700" y="3476625"/>
          <a:ext cx="12382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</xdr:colOff>
      <xdr:row>20</xdr:row>
      <xdr:rowOff>57150</xdr:rowOff>
    </xdr:from>
    <xdr:to>
      <xdr:col>10</xdr:col>
      <xdr:colOff>133350</xdr:colOff>
      <xdr:row>20</xdr:row>
      <xdr:rowOff>171450</xdr:rowOff>
    </xdr:to>
    <xdr:sp macro="" textlink="">
      <xdr:nvSpPr>
        <xdr:cNvPr id="2050" name="Rectangle 2"/>
        <xdr:cNvSpPr>
          <a:spLocks noChangeArrowheads="1"/>
        </xdr:cNvSpPr>
      </xdr:nvSpPr>
      <xdr:spPr bwMode="auto">
        <a:xfrm>
          <a:off x="3876675" y="34956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400050</xdr:colOff>
      <xdr:row>20</xdr:row>
      <xdr:rowOff>47625</xdr:rowOff>
    </xdr:from>
    <xdr:to>
      <xdr:col>11</xdr:col>
      <xdr:colOff>542925</xdr:colOff>
      <xdr:row>20</xdr:row>
      <xdr:rowOff>161925</xdr:rowOff>
    </xdr:to>
    <xdr:sp macro="" textlink="">
      <xdr:nvSpPr>
        <xdr:cNvPr id="2051" name="Rectangle 3"/>
        <xdr:cNvSpPr>
          <a:spLocks noChangeArrowheads="1"/>
        </xdr:cNvSpPr>
      </xdr:nvSpPr>
      <xdr:spPr bwMode="auto">
        <a:xfrm>
          <a:off x="4981575" y="3486150"/>
          <a:ext cx="1428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409575</xdr:colOff>
      <xdr:row>20</xdr:row>
      <xdr:rowOff>0</xdr:rowOff>
    </xdr:from>
    <xdr:to>
      <xdr:col>11</xdr:col>
      <xdr:colOff>552450</xdr:colOff>
      <xdr:row>21</xdr:row>
      <xdr:rowOff>9525</xdr:rowOff>
    </xdr:to>
    <xdr:sp macro="" textlink="">
      <xdr:nvSpPr>
        <xdr:cNvPr id="2052" name="Line 4"/>
        <xdr:cNvSpPr>
          <a:spLocks noChangeShapeType="1"/>
        </xdr:cNvSpPr>
      </xdr:nvSpPr>
      <xdr:spPr bwMode="auto">
        <a:xfrm>
          <a:off x="4991100" y="3438525"/>
          <a:ext cx="142875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390525</xdr:colOff>
      <xdr:row>20</xdr:row>
      <xdr:rowOff>76200</xdr:rowOff>
    </xdr:from>
    <xdr:to>
      <xdr:col>11</xdr:col>
      <xdr:colOff>542925</xdr:colOff>
      <xdr:row>20</xdr:row>
      <xdr:rowOff>190500</xdr:rowOff>
    </xdr:to>
    <xdr:sp macro="" textlink="">
      <xdr:nvSpPr>
        <xdr:cNvPr id="2053" name="Line 5"/>
        <xdr:cNvSpPr>
          <a:spLocks noChangeShapeType="1"/>
        </xdr:cNvSpPr>
      </xdr:nvSpPr>
      <xdr:spPr bwMode="auto">
        <a:xfrm flipV="1">
          <a:off x="4972050" y="3514725"/>
          <a:ext cx="15240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714375</xdr:colOff>
      <xdr:row>4</xdr:row>
      <xdr:rowOff>66675</xdr:rowOff>
    </xdr:to>
    <xdr:pic>
      <xdr:nvPicPr>
        <xdr:cNvPr id="3073" name="Picture 1" descr="NMS khakigreen Logo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9100" y="161925"/>
          <a:ext cx="71437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W66"/>
  <sheetViews>
    <sheetView workbookViewId="0">
      <selection activeCell="E12" sqref="E12"/>
    </sheetView>
  </sheetViews>
  <sheetFormatPr defaultRowHeight="12.75"/>
  <cols>
    <col min="1" max="1" width="1.7109375" customWidth="1"/>
    <col min="2" max="2" width="1.5703125" customWidth="1"/>
    <col min="3" max="3" width="23.42578125" customWidth="1"/>
    <col min="4" max="4" width="31.5703125" bestFit="1" customWidth="1"/>
    <col min="5" max="5" width="13.5703125" customWidth="1"/>
    <col min="6" max="6" width="11.5703125" bestFit="1" customWidth="1"/>
    <col min="9" max="9" width="8.7109375" bestFit="1" customWidth="1"/>
    <col min="10" max="10" width="12" bestFit="1" customWidth="1"/>
    <col min="11" max="11" width="11" customWidth="1"/>
    <col min="13" max="13" width="11.7109375" bestFit="1" customWidth="1"/>
    <col min="15" max="15" width="13.85546875" bestFit="1" customWidth="1"/>
    <col min="20" max="20" width="9.140625" style="5"/>
    <col min="23" max="23" width="10.42578125" bestFit="1" customWidth="1"/>
    <col min="26" max="26" width="14.42578125" bestFit="1" customWidth="1"/>
  </cols>
  <sheetData>
    <row r="1" spans="3:23">
      <c r="C1" s="63" t="s">
        <v>488</v>
      </c>
      <c r="D1" s="129" t="s">
        <v>601</v>
      </c>
      <c r="F1" s="56" t="s">
        <v>211</v>
      </c>
    </row>
    <row r="2" spans="3:23">
      <c r="F2" s="52" t="s">
        <v>192</v>
      </c>
    </row>
    <row r="3" spans="3:23">
      <c r="E3" s="187" t="s">
        <v>217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W3" s="192"/>
    </row>
    <row r="4" spans="3:23">
      <c r="E4" s="62" t="s">
        <v>167</v>
      </c>
      <c r="F4" s="62" t="s">
        <v>18</v>
      </c>
      <c r="G4" s="62" t="s">
        <v>185</v>
      </c>
      <c r="H4" s="62" t="s">
        <v>219</v>
      </c>
      <c r="I4" s="62" t="s">
        <v>197</v>
      </c>
      <c r="J4" s="62" t="s">
        <v>220</v>
      </c>
      <c r="K4" s="62" t="s">
        <v>221</v>
      </c>
      <c r="L4" s="62" t="s">
        <v>0</v>
      </c>
      <c r="M4" s="62" t="s">
        <v>221</v>
      </c>
      <c r="N4" s="62" t="s">
        <v>0</v>
      </c>
      <c r="O4" s="62" t="s">
        <v>222</v>
      </c>
      <c r="P4" s="62" t="s">
        <v>223</v>
      </c>
      <c r="Q4" s="62" t="s">
        <v>224</v>
      </c>
      <c r="R4" s="62" t="s">
        <v>225</v>
      </c>
      <c r="S4" s="62" t="s">
        <v>226</v>
      </c>
      <c r="W4" s="192"/>
    </row>
    <row r="5" spans="3:23">
      <c r="D5" t="s">
        <v>186</v>
      </c>
      <c r="E5" s="59">
        <v>56</v>
      </c>
      <c r="F5" s="59"/>
      <c r="G5" s="59"/>
      <c r="H5" s="59"/>
      <c r="I5" s="59"/>
      <c r="J5" s="59"/>
      <c r="K5" s="59"/>
      <c r="L5" s="59"/>
      <c r="M5" s="59"/>
      <c r="N5" s="59"/>
      <c r="O5" s="59">
        <v>0</v>
      </c>
      <c r="P5" s="59">
        <v>0</v>
      </c>
      <c r="Q5" s="59">
        <v>0</v>
      </c>
      <c r="R5" s="59">
        <v>0</v>
      </c>
      <c r="S5" s="59">
        <v>0</v>
      </c>
      <c r="T5" s="55">
        <f>SUM(E5:S5)</f>
        <v>56</v>
      </c>
      <c r="U5" t="s">
        <v>190</v>
      </c>
    </row>
    <row r="6" spans="3:23">
      <c r="D6" t="s">
        <v>187</v>
      </c>
      <c r="E6" s="59">
        <v>17.75</v>
      </c>
      <c r="F6" s="59"/>
      <c r="G6" s="59"/>
      <c r="H6" s="59"/>
      <c r="I6" s="59"/>
      <c r="J6" s="59"/>
      <c r="K6" s="59"/>
      <c r="L6" s="59"/>
      <c r="M6" s="59"/>
      <c r="N6" s="59"/>
      <c r="O6" s="59">
        <v>0</v>
      </c>
      <c r="P6" s="59">
        <v>0</v>
      </c>
      <c r="Q6" s="59">
        <v>0</v>
      </c>
      <c r="R6" s="59">
        <v>0</v>
      </c>
      <c r="S6" s="59">
        <v>0</v>
      </c>
      <c r="T6" s="55">
        <f>SUM(E6:S6)</f>
        <v>17.75</v>
      </c>
      <c r="U6" t="s">
        <v>190</v>
      </c>
    </row>
    <row r="7" spans="3:23">
      <c r="D7" t="s">
        <v>188</v>
      </c>
      <c r="E7" s="58">
        <f>T6</f>
        <v>17.75</v>
      </c>
      <c r="T7"/>
      <c r="U7" t="s">
        <v>3</v>
      </c>
    </row>
    <row r="8" spans="3:23">
      <c r="D8" t="s">
        <v>189</v>
      </c>
      <c r="E8" s="58">
        <f>E5</f>
        <v>56</v>
      </c>
    </row>
    <row r="9" spans="3:23">
      <c r="D9" t="s">
        <v>194</v>
      </c>
      <c r="E9" s="57">
        <f>E6*E5</f>
        <v>994</v>
      </c>
      <c r="F9" s="57">
        <f t="shared" ref="F9:S9" si="0">F6*F5</f>
        <v>0</v>
      </c>
      <c r="G9" s="57">
        <f t="shared" si="0"/>
        <v>0</v>
      </c>
      <c r="H9" s="57">
        <f t="shared" si="0"/>
        <v>0</v>
      </c>
      <c r="I9" s="57">
        <f t="shared" si="0"/>
        <v>0</v>
      </c>
      <c r="J9" s="57">
        <f t="shared" si="0"/>
        <v>0</v>
      </c>
      <c r="K9" s="57">
        <f t="shared" si="0"/>
        <v>0</v>
      </c>
      <c r="L9" s="57">
        <f t="shared" si="0"/>
        <v>0</v>
      </c>
      <c r="M9" s="57">
        <f t="shared" si="0"/>
        <v>0</v>
      </c>
      <c r="N9" s="57">
        <f t="shared" si="0"/>
        <v>0</v>
      </c>
      <c r="O9" s="57">
        <f t="shared" si="0"/>
        <v>0</v>
      </c>
      <c r="P9" s="57">
        <f t="shared" si="0"/>
        <v>0</v>
      </c>
      <c r="Q9" s="57">
        <f t="shared" si="0"/>
        <v>0</v>
      </c>
      <c r="R9" s="57">
        <f t="shared" si="0"/>
        <v>0</v>
      </c>
      <c r="S9" s="57">
        <f t="shared" si="0"/>
        <v>0</v>
      </c>
      <c r="T9" s="55">
        <f>SUM(E9:S9)</f>
        <v>994</v>
      </c>
      <c r="U9" t="s">
        <v>10</v>
      </c>
    </row>
    <row r="10" spans="3:23">
      <c r="D10" t="s">
        <v>228</v>
      </c>
      <c r="E10" s="59">
        <v>1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5">
        <f>SUM(E10:S10)</f>
        <v>1</v>
      </c>
      <c r="U10" t="s">
        <v>229</v>
      </c>
    </row>
    <row r="11" spans="3:23">
      <c r="D11" t="s">
        <v>449</v>
      </c>
      <c r="E11" s="53">
        <f>E9*28</f>
        <v>27832</v>
      </c>
      <c r="F11" s="53">
        <f t="shared" ref="F11:S11" si="1">F9*28</f>
        <v>0</v>
      </c>
      <c r="G11" s="53">
        <f t="shared" si="1"/>
        <v>0</v>
      </c>
      <c r="H11" s="53">
        <f t="shared" si="1"/>
        <v>0</v>
      </c>
      <c r="I11" s="53">
        <f t="shared" si="1"/>
        <v>0</v>
      </c>
      <c r="J11" s="53">
        <f t="shared" si="1"/>
        <v>0</v>
      </c>
      <c r="K11" s="53">
        <f t="shared" si="1"/>
        <v>0</v>
      </c>
      <c r="L11" s="53">
        <f t="shared" si="1"/>
        <v>0</v>
      </c>
      <c r="M11" s="53">
        <f t="shared" si="1"/>
        <v>0</v>
      </c>
      <c r="N11" s="53">
        <f t="shared" si="1"/>
        <v>0</v>
      </c>
      <c r="O11" s="53">
        <f t="shared" si="1"/>
        <v>0</v>
      </c>
      <c r="P11" s="53">
        <f t="shared" si="1"/>
        <v>0</v>
      </c>
      <c r="Q11" s="53">
        <f t="shared" si="1"/>
        <v>0</v>
      </c>
      <c r="R11" s="53">
        <f t="shared" si="1"/>
        <v>0</v>
      </c>
      <c r="S11" s="53">
        <f t="shared" si="1"/>
        <v>0</v>
      </c>
      <c r="T11" s="57">
        <f>SUM(E11:S11)</f>
        <v>27832</v>
      </c>
    </row>
    <row r="12" spans="3:23">
      <c r="D12" t="s">
        <v>227</v>
      </c>
      <c r="E12" s="53">
        <f>ROUNDUP(E11/5500,0)</f>
        <v>6</v>
      </c>
      <c r="F12" s="53">
        <f t="shared" ref="F12:S12" si="2">ROUNDUP(F11/5500,0)</f>
        <v>0</v>
      </c>
      <c r="G12" s="53">
        <f t="shared" si="2"/>
        <v>0</v>
      </c>
      <c r="H12" s="53">
        <f t="shared" si="2"/>
        <v>0</v>
      </c>
      <c r="I12" s="53">
        <f t="shared" si="2"/>
        <v>0</v>
      </c>
      <c r="J12" s="53">
        <f t="shared" si="2"/>
        <v>0</v>
      </c>
      <c r="K12" s="53">
        <f t="shared" si="2"/>
        <v>0</v>
      </c>
      <c r="L12" s="53">
        <f t="shared" si="2"/>
        <v>0</v>
      </c>
      <c r="M12" s="53">
        <f t="shared" si="2"/>
        <v>0</v>
      </c>
      <c r="N12" s="53">
        <f t="shared" si="2"/>
        <v>0</v>
      </c>
      <c r="O12" s="53">
        <f t="shared" si="2"/>
        <v>0</v>
      </c>
      <c r="P12" s="53">
        <f t="shared" si="2"/>
        <v>0</v>
      </c>
      <c r="Q12" s="53">
        <f t="shared" si="2"/>
        <v>0</v>
      </c>
      <c r="R12" s="53">
        <f t="shared" si="2"/>
        <v>0</v>
      </c>
      <c r="S12" s="53">
        <f t="shared" si="2"/>
        <v>0</v>
      </c>
      <c r="T12" s="55">
        <f>SUM(E12:S12)</f>
        <v>6</v>
      </c>
      <c r="U12" t="s">
        <v>230</v>
      </c>
    </row>
    <row r="13" spans="3:23">
      <c r="D13" t="s">
        <v>450</v>
      </c>
      <c r="E13" s="52">
        <f ca="1">(E9*28)+((Specs!$J$24+Specs!$J$25)*Inputs!E9)</f>
        <v>107352</v>
      </c>
      <c r="F13" s="52">
        <f ca="1">(F9*28)+((Specs!$J$24+Specs!$J$25)*Inputs!F9)</f>
        <v>0</v>
      </c>
      <c r="G13" s="52">
        <f ca="1">(G9*28)+((Specs!$J$24+Specs!$J$25)*Inputs!G9)</f>
        <v>0</v>
      </c>
      <c r="H13" s="52">
        <f ca="1">(H9*28)+((Specs!$J$24+Specs!$J$25)*Inputs!H9)</f>
        <v>0</v>
      </c>
      <c r="I13" s="52">
        <f ca="1">(I9*28)+((Specs!$J$24+Specs!$J$25)*Inputs!I9)</f>
        <v>0</v>
      </c>
      <c r="J13" s="52">
        <f ca="1">(J9*28)+((Specs!$J$24+Specs!$J$25)*Inputs!J9)</f>
        <v>0</v>
      </c>
      <c r="K13" s="52">
        <f ca="1">(K9*28)+((Specs!$J$24+Specs!$J$25)*Inputs!K9)</f>
        <v>0</v>
      </c>
      <c r="L13" s="52">
        <f ca="1">(L9*28)+((Specs!$J$24+Specs!$J$25)*Inputs!L9)</f>
        <v>0</v>
      </c>
      <c r="M13" s="52">
        <f ca="1">(M9*28)+((Specs!$J$24+Specs!$J$25)*Inputs!M9)</f>
        <v>0</v>
      </c>
      <c r="N13" s="52">
        <f ca="1">(N9*28)+((Specs!$J$24+Specs!$J$25)*Inputs!N9)</f>
        <v>0</v>
      </c>
      <c r="O13" s="52">
        <f ca="1">(O9*28)+((Specs!$J$24+Specs!$J$25)*Inputs!O9)</f>
        <v>0</v>
      </c>
      <c r="P13" s="52">
        <f ca="1">(P9*28)+((Specs!$J$24+Specs!$J$25)*Inputs!P9)</f>
        <v>0</v>
      </c>
      <c r="Q13" s="52">
        <f ca="1">(Q9*28)+((Specs!$J$24+Specs!$J$25)*Inputs!Q9)</f>
        <v>0</v>
      </c>
      <c r="R13" s="52">
        <f ca="1">(R9*28)+((Specs!$J$24+Specs!$J$25)*Inputs!R9)</f>
        <v>0</v>
      </c>
      <c r="S13" s="52">
        <f ca="1">(S9*28)+((Specs!$J$24+Specs!$J$25)*Inputs!S9)</f>
        <v>0</v>
      </c>
      <c r="T13" s="55">
        <f>T12*2</f>
        <v>12</v>
      </c>
      <c r="U13" t="s">
        <v>267</v>
      </c>
    </row>
    <row r="14" spans="3:23">
      <c r="F14" s="188" t="s">
        <v>268</v>
      </c>
      <c r="G14" s="188"/>
      <c r="H14" s="188"/>
      <c r="I14" s="188"/>
      <c r="J14" s="188"/>
      <c r="K14" s="188"/>
      <c r="L14" s="188"/>
      <c r="M14" s="188"/>
      <c r="T14"/>
    </row>
    <row r="15" spans="3:23">
      <c r="C15" s="63" t="s">
        <v>269</v>
      </c>
      <c r="D15" t="s">
        <v>231</v>
      </c>
      <c r="E15" s="53">
        <f>E5*2</f>
        <v>112</v>
      </c>
      <c r="F15" s="5">
        <v>1</v>
      </c>
      <c r="G15" s="5">
        <v>2</v>
      </c>
      <c r="H15" s="5">
        <v>3</v>
      </c>
      <c r="I15" s="5">
        <v>4</v>
      </c>
      <c r="J15" s="5">
        <v>5</v>
      </c>
      <c r="K15" s="5">
        <v>6</v>
      </c>
      <c r="L15" s="5">
        <v>7</v>
      </c>
      <c r="M15" s="5">
        <v>8</v>
      </c>
      <c r="N15" s="5">
        <v>9</v>
      </c>
      <c r="O15" s="5">
        <v>10</v>
      </c>
      <c r="P15" s="5">
        <v>11</v>
      </c>
      <c r="T15"/>
    </row>
    <row r="16" spans="3:23">
      <c r="D16" t="s">
        <v>232</v>
      </c>
      <c r="E16" s="53">
        <f>E13/E15</f>
        <v>958.5</v>
      </c>
      <c r="F16" s="55">
        <f>($E$16*F15)/1000</f>
        <v>0.95850000000000002</v>
      </c>
      <c r="G16" s="55">
        <f t="shared" ref="G16:M16" si="3">($E$16*G15)/1000</f>
        <v>1.917</v>
      </c>
      <c r="H16" s="55">
        <f t="shared" si="3"/>
        <v>2.8755000000000002</v>
      </c>
      <c r="I16" s="55">
        <f t="shared" si="3"/>
        <v>3.8340000000000001</v>
      </c>
      <c r="J16" s="55">
        <f t="shared" si="3"/>
        <v>4.7925000000000004</v>
      </c>
      <c r="K16" s="55">
        <f t="shared" si="3"/>
        <v>5.7510000000000003</v>
      </c>
      <c r="L16" s="55">
        <f t="shared" si="3"/>
        <v>6.7095000000000002</v>
      </c>
      <c r="M16" s="55">
        <f t="shared" si="3"/>
        <v>7.6680000000000001</v>
      </c>
      <c r="N16" s="55">
        <f>($E$16*N15)/1000</f>
        <v>8.6265000000000001</v>
      </c>
      <c r="O16" s="55">
        <f>($E$16*O15)/1000</f>
        <v>9.5850000000000009</v>
      </c>
      <c r="P16" s="55">
        <f>($E$16*P15)/1000</f>
        <v>10.5435</v>
      </c>
      <c r="T16"/>
    </row>
    <row r="17" spans="3:20">
      <c r="H17" s="55">
        <f t="shared" ref="H17:P17" si="4">(H16/2)+$G$16</f>
        <v>3.3547500000000001</v>
      </c>
      <c r="I17" s="55">
        <f t="shared" si="4"/>
        <v>3.8340000000000001</v>
      </c>
      <c r="J17" s="55">
        <f t="shared" si="4"/>
        <v>4.31325</v>
      </c>
      <c r="K17" s="55">
        <f t="shared" si="4"/>
        <v>4.7925000000000004</v>
      </c>
      <c r="L17" s="55">
        <f t="shared" si="4"/>
        <v>5.2717499999999999</v>
      </c>
      <c r="M17" s="55">
        <f t="shared" si="4"/>
        <v>5.7510000000000003</v>
      </c>
      <c r="N17" s="55">
        <f t="shared" si="4"/>
        <v>6.2302499999999998</v>
      </c>
      <c r="O17" s="55">
        <f t="shared" si="4"/>
        <v>6.7095000000000002</v>
      </c>
      <c r="P17" s="55">
        <f t="shared" si="4"/>
        <v>7.1887499999999998</v>
      </c>
      <c r="Q17" t="s">
        <v>233</v>
      </c>
      <c r="T17"/>
    </row>
    <row r="18" spans="3:20">
      <c r="F18" s="188" t="s">
        <v>268</v>
      </c>
      <c r="G18" s="188"/>
      <c r="H18" s="188"/>
      <c r="I18" s="188"/>
      <c r="J18" s="188"/>
      <c r="K18" s="188"/>
      <c r="L18" s="188"/>
      <c r="M18" s="188"/>
      <c r="T18"/>
    </row>
    <row r="19" spans="3:20">
      <c r="C19" s="63" t="s">
        <v>270</v>
      </c>
      <c r="D19" t="s">
        <v>231</v>
      </c>
      <c r="E19" s="53">
        <f>F5*2</f>
        <v>0</v>
      </c>
      <c r="F19" s="5">
        <v>1</v>
      </c>
      <c r="G19" s="5">
        <v>2</v>
      </c>
      <c r="H19" s="5">
        <v>3</v>
      </c>
      <c r="I19" s="5">
        <v>4</v>
      </c>
      <c r="J19" s="5">
        <v>5</v>
      </c>
      <c r="K19" s="5">
        <v>6</v>
      </c>
      <c r="L19" s="5">
        <v>7</v>
      </c>
      <c r="M19" s="5">
        <v>8</v>
      </c>
      <c r="T19"/>
    </row>
    <row r="20" spans="3:20">
      <c r="D20" t="s">
        <v>232</v>
      </c>
      <c r="E20" s="53" t="e">
        <f>F13/E19</f>
        <v>#DIV/0!</v>
      </c>
      <c r="F20" s="55" t="e">
        <f>($E$20*F19)/1000</f>
        <v>#DIV/0!</v>
      </c>
      <c r="G20" s="55" t="e">
        <f t="shared" ref="G20:M20" si="5">($E$20*G19)/1000</f>
        <v>#DIV/0!</v>
      </c>
      <c r="H20" s="55" t="e">
        <f t="shared" si="5"/>
        <v>#DIV/0!</v>
      </c>
      <c r="I20" s="55" t="e">
        <f t="shared" si="5"/>
        <v>#DIV/0!</v>
      </c>
      <c r="J20" s="55" t="e">
        <f t="shared" si="5"/>
        <v>#DIV/0!</v>
      </c>
      <c r="K20" s="55" t="e">
        <f t="shared" si="5"/>
        <v>#DIV/0!</v>
      </c>
      <c r="L20" s="55" t="e">
        <f t="shared" si="5"/>
        <v>#DIV/0!</v>
      </c>
      <c r="M20" s="55" t="e">
        <f t="shared" si="5"/>
        <v>#DIV/0!</v>
      </c>
      <c r="T20"/>
    </row>
    <row r="21" spans="3:20">
      <c r="H21" s="55" t="e">
        <f t="shared" ref="H21:M21" si="6">(H20/2)+$G$16</f>
        <v>#DIV/0!</v>
      </c>
      <c r="I21" s="55" t="e">
        <f t="shared" si="6"/>
        <v>#DIV/0!</v>
      </c>
      <c r="J21" s="55" t="e">
        <f t="shared" si="6"/>
        <v>#DIV/0!</v>
      </c>
      <c r="K21" s="55" t="e">
        <f t="shared" si="6"/>
        <v>#DIV/0!</v>
      </c>
      <c r="L21" s="55" t="e">
        <f t="shared" si="6"/>
        <v>#DIV/0!</v>
      </c>
      <c r="M21" s="55" t="e">
        <f t="shared" si="6"/>
        <v>#DIV/0!</v>
      </c>
      <c r="N21" t="s">
        <v>233</v>
      </c>
      <c r="T21"/>
    </row>
    <row r="22" spans="3:20">
      <c r="T22"/>
    </row>
    <row r="23" spans="3:20">
      <c r="T23"/>
    </row>
    <row r="24" spans="3:20">
      <c r="D24" s="43" t="s">
        <v>196</v>
      </c>
      <c r="E24" s="59" t="s">
        <v>18</v>
      </c>
    </row>
    <row r="27" spans="3:20">
      <c r="D27" t="s">
        <v>195</v>
      </c>
      <c r="E27" s="53">
        <f>T9</f>
        <v>994</v>
      </c>
      <c r="F27" t="s">
        <v>10</v>
      </c>
    </row>
    <row r="28" spans="3:20">
      <c r="D28" t="s">
        <v>191</v>
      </c>
      <c r="E28" s="53">
        <f>E8*E7</f>
        <v>994</v>
      </c>
      <c r="F28" t="s">
        <v>10</v>
      </c>
    </row>
    <row r="29" spans="3:20">
      <c r="D29" t="s">
        <v>193</v>
      </c>
      <c r="E29" s="53">
        <f>(E8*2)+(E7*2)</f>
        <v>147.5</v>
      </c>
      <c r="F29" t="s">
        <v>190</v>
      </c>
    </row>
    <row r="31" spans="3:20">
      <c r="C31" s="27" t="s">
        <v>15</v>
      </c>
      <c r="D31" t="s">
        <v>196</v>
      </c>
      <c r="E31" s="60" t="s">
        <v>18</v>
      </c>
      <c r="F31" s="27" t="s">
        <v>198</v>
      </c>
      <c r="G31" s="53">
        <f>E28/100</f>
        <v>9.94</v>
      </c>
      <c r="H31" s="53">
        <f>ROUNDDOWN(G31,0)</f>
        <v>9</v>
      </c>
      <c r="I31" t="s">
        <v>3</v>
      </c>
    </row>
    <row r="32" spans="3:20">
      <c r="C32" s="27" t="s">
        <v>15</v>
      </c>
      <c r="D32" t="s">
        <v>196</v>
      </c>
      <c r="E32" s="5" t="s">
        <v>197</v>
      </c>
      <c r="F32" s="27" t="s">
        <v>198</v>
      </c>
      <c r="G32" s="53">
        <f>E28/20</f>
        <v>49.7</v>
      </c>
      <c r="H32" s="53">
        <f>ROUNDDOWN(G32,0)</f>
        <v>49</v>
      </c>
      <c r="J32" s="54" t="s">
        <v>210</v>
      </c>
      <c r="K32" s="54" t="s">
        <v>209</v>
      </c>
    </row>
    <row r="33" spans="2:16">
      <c r="C33" s="27" t="s">
        <v>16</v>
      </c>
      <c r="D33" t="s">
        <v>207</v>
      </c>
      <c r="E33" s="53">
        <f>7/1000</f>
        <v>7.0000000000000001E-3</v>
      </c>
      <c r="G33" s="53">
        <f>E33*$E$28</f>
        <v>6.9580000000000002</v>
      </c>
      <c r="H33" s="53">
        <f>ROUNDUP(G33,0)</f>
        <v>7</v>
      </c>
      <c r="J33" s="1">
        <v>20</v>
      </c>
      <c r="K33" s="53">
        <f>J33*H33</f>
        <v>140</v>
      </c>
      <c r="L33" t="s">
        <v>483</v>
      </c>
    </row>
    <row r="34" spans="2:16">
      <c r="C34" s="27" t="s">
        <v>16</v>
      </c>
      <c r="D34" t="s">
        <v>208</v>
      </c>
      <c r="E34" s="53">
        <f>50/1000</f>
        <v>0.05</v>
      </c>
      <c r="G34" s="53">
        <f>E34*$E$28</f>
        <v>49.7</v>
      </c>
      <c r="H34" s="53">
        <f>ROUNDUP(G34,0)</f>
        <v>50</v>
      </c>
      <c r="J34" s="1">
        <v>15</v>
      </c>
      <c r="K34" s="53">
        <f>J34*H34</f>
        <v>750</v>
      </c>
      <c r="L34" t="s">
        <v>484</v>
      </c>
    </row>
    <row r="35" spans="2:16">
      <c r="F35" t="s">
        <v>200</v>
      </c>
    </row>
    <row r="36" spans="2:16">
      <c r="D36" t="s">
        <v>199</v>
      </c>
      <c r="E36" s="53">
        <f>E29/16</f>
        <v>9.21875</v>
      </c>
      <c r="F36" s="53">
        <f>E36*1.05</f>
        <v>9.6796875</v>
      </c>
      <c r="G36" s="53">
        <f>ROUNDUP(F36,0)</f>
        <v>10</v>
      </c>
      <c r="M36" s="189" t="s">
        <v>373</v>
      </c>
      <c r="N36" s="190"/>
    </row>
    <row r="37" spans="2:16">
      <c r="D37" s="43" t="s">
        <v>205</v>
      </c>
      <c r="E37" s="53">
        <f>E28/150</f>
        <v>6.6266666666666669</v>
      </c>
      <c r="F37" s="55">
        <f>ROUNDUP(E37,0)</f>
        <v>7</v>
      </c>
      <c r="M37" s="190"/>
      <c r="N37" s="190"/>
    </row>
    <row r="38" spans="2:16">
      <c r="M38" s="133" t="s">
        <v>542</v>
      </c>
      <c r="N38" s="43" t="s">
        <v>212</v>
      </c>
      <c r="O38" s="43" t="s">
        <v>213</v>
      </c>
    </row>
    <row r="39" spans="2:16">
      <c r="B39" s="79"/>
      <c r="C39" s="42" t="s">
        <v>214</v>
      </c>
      <c r="D39" s="193" t="s">
        <v>239</v>
      </c>
      <c r="E39" s="193"/>
      <c r="F39" s="53">
        <f>$E$28*1.3</f>
        <v>1292.2</v>
      </c>
      <c r="G39" t="s">
        <v>201</v>
      </c>
      <c r="H39" s="53">
        <f t="shared" ref="H39:H45" si="7">F39/120</f>
        <v>10.768333333333334</v>
      </c>
      <c r="I39" t="s">
        <v>202</v>
      </c>
      <c r="J39" s="53">
        <f t="shared" ref="J39:J45" si="8">F39/92</f>
        <v>14.045652173913044</v>
      </c>
      <c r="K39" s="185" t="s">
        <v>203</v>
      </c>
      <c r="L39" s="186"/>
      <c r="M39" s="59">
        <v>0</v>
      </c>
      <c r="N39" s="59">
        <v>0</v>
      </c>
      <c r="O39" s="55">
        <f ca="1">(M39*'Electrical 1-ph'!$Z$4)+(N39*'Electrical 1-ph'!$Z$7)</f>
        <v>0</v>
      </c>
      <c r="P39" s="55" t="str">
        <f t="shared" ref="P39:P45" si="9">IF(F39&gt;O39,"Passes ","Fails")</f>
        <v xml:space="preserve">Passes </v>
      </c>
    </row>
    <row r="40" spans="2:16">
      <c r="B40" s="80"/>
      <c r="C40" s="42" t="s">
        <v>485</v>
      </c>
      <c r="D40" s="29" t="s">
        <v>240</v>
      </c>
      <c r="E40" s="29"/>
      <c r="F40" s="53">
        <f>$E$28*1</f>
        <v>994</v>
      </c>
      <c r="G40" t="s">
        <v>201</v>
      </c>
      <c r="H40" s="53">
        <f t="shared" si="7"/>
        <v>8.2833333333333332</v>
      </c>
      <c r="I40" t="s">
        <v>202</v>
      </c>
      <c r="J40" s="53">
        <f>F40/68</f>
        <v>14.617647058823529</v>
      </c>
      <c r="K40" s="185" t="s">
        <v>538</v>
      </c>
      <c r="L40" s="186"/>
      <c r="M40" s="59">
        <v>18</v>
      </c>
      <c r="N40" s="59">
        <v>0</v>
      </c>
      <c r="O40" s="55">
        <f ca="1">(M40*'Electrical 1-ph'!$Z$5)+(N40*'Electrical 1-ph'!$Z$7)</f>
        <v>1044</v>
      </c>
      <c r="P40" s="55" t="str">
        <f t="shared" si="9"/>
        <v>Fails</v>
      </c>
    </row>
    <row r="41" spans="2:16">
      <c r="C41" s="42" t="s">
        <v>215</v>
      </c>
      <c r="D41" s="193" t="s">
        <v>204</v>
      </c>
      <c r="E41" s="193"/>
      <c r="F41" s="53">
        <f>$E$28*1</f>
        <v>994</v>
      </c>
      <c r="G41" t="s">
        <v>201</v>
      </c>
      <c r="H41" s="53">
        <f t="shared" si="7"/>
        <v>8.2833333333333332</v>
      </c>
      <c r="I41" t="s">
        <v>202</v>
      </c>
      <c r="J41" s="53">
        <f t="shared" si="8"/>
        <v>10.804347826086957</v>
      </c>
      <c r="K41" s="185" t="s">
        <v>203</v>
      </c>
      <c r="L41" s="186"/>
      <c r="M41" s="59">
        <v>0</v>
      </c>
      <c r="N41" s="59">
        <v>0</v>
      </c>
      <c r="O41" s="55">
        <f ca="1">(M41*'Electrical 1-ph'!$Z$4)+(N41*'Electrical 1-ph'!$Z$7)</f>
        <v>0</v>
      </c>
      <c r="P41" s="55" t="str">
        <f t="shared" si="9"/>
        <v xml:space="preserve">Passes </v>
      </c>
    </row>
    <row r="42" spans="2:16">
      <c r="C42" s="42" t="s">
        <v>215</v>
      </c>
      <c r="D42" s="1" t="s">
        <v>206</v>
      </c>
      <c r="E42" s="1"/>
      <c r="F42" s="53">
        <f>$E$28*1</f>
        <v>994</v>
      </c>
      <c r="G42" t="s">
        <v>201</v>
      </c>
      <c r="H42" s="53">
        <f t="shared" si="7"/>
        <v>8.2833333333333332</v>
      </c>
      <c r="I42" t="s">
        <v>202</v>
      </c>
      <c r="J42" s="53">
        <f t="shared" si="8"/>
        <v>10.804347826086957</v>
      </c>
      <c r="K42" s="185" t="s">
        <v>203</v>
      </c>
      <c r="L42" s="186"/>
      <c r="M42" s="59">
        <v>0</v>
      </c>
      <c r="N42" s="59">
        <v>0</v>
      </c>
      <c r="O42" s="55">
        <f ca="1">(M42*'Electrical 1-ph'!$Z$4)+(N42*'Electrical 1-ph'!$Z$7)</f>
        <v>0</v>
      </c>
      <c r="P42" s="55" t="str">
        <f t="shared" si="9"/>
        <v xml:space="preserve">Passes </v>
      </c>
    </row>
    <row r="43" spans="2:16">
      <c r="B43" s="79"/>
      <c r="C43" s="42" t="s">
        <v>218</v>
      </c>
      <c r="D43" s="193" t="s">
        <v>239</v>
      </c>
      <c r="E43" s="193"/>
      <c r="F43" s="53">
        <f>$E$28*1.5</f>
        <v>1491</v>
      </c>
      <c r="G43" t="s">
        <v>201</v>
      </c>
      <c r="H43" s="53">
        <f t="shared" si="7"/>
        <v>12.425000000000001</v>
      </c>
      <c r="I43" t="s">
        <v>202</v>
      </c>
      <c r="J43" s="53">
        <f t="shared" si="8"/>
        <v>16.206521739130434</v>
      </c>
      <c r="K43" s="185" t="s">
        <v>203</v>
      </c>
      <c r="L43" s="186"/>
      <c r="M43" s="59">
        <v>0</v>
      </c>
      <c r="N43" s="59">
        <v>0</v>
      </c>
      <c r="O43" s="55">
        <f ca="1">(M43*'Electrical 1-ph'!$Z$4)+(N43*'Electrical 1-ph'!$Z$7)</f>
        <v>0</v>
      </c>
      <c r="P43" s="55" t="str">
        <f t="shared" si="9"/>
        <v xml:space="preserve">Passes </v>
      </c>
    </row>
    <row r="44" spans="2:16">
      <c r="C44" s="42" t="s">
        <v>216</v>
      </c>
      <c r="D44" s="193" t="s">
        <v>204</v>
      </c>
      <c r="E44" s="193"/>
      <c r="F44" s="53">
        <f>$E$28*1.2</f>
        <v>1192.8</v>
      </c>
      <c r="G44" t="s">
        <v>201</v>
      </c>
      <c r="H44" s="53">
        <f t="shared" si="7"/>
        <v>9.94</v>
      </c>
      <c r="I44" t="s">
        <v>202</v>
      </c>
      <c r="J44" s="53">
        <f t="shared" si="8"/>
        <v>12.965217391304348</v>
      </c>
      <c r="K44" t="s">
        <v>203</v>
      </c>
      <c r="M44" s="59">
        <v>0</v>
      </c>
      <c r="N44" s="59">
        <v>0</v>
      </c>
      <c r="O44" s="55">
        <f ca="1">(M44*'Electrical 1-ph'!$Z$4)+(N44*'Electrical 1-ph'!$Z$7)</f>
        <v>0</v>
      </c>
      <c r="P44" s="55" t="str">
        <f t="shared" si="9"/>
        <v xml:space="preserve">Passes </v>
      </c>
    </row>
    <row r="45" spans="2:16">
      <c r="C45" s="42" t="s">
        <v>216</v>
      </c>
      <c r="D45" s="1" t="s">
        <v>206</v>
      </c>
      <c r="E45" s="1"/>
      <c r="F45" s="53">
        <f>$E$28*1.2</f>
        <v>1192.8</v>
      </c>
      <c r="G45" t="s">
        <v>201</v>
      </c>
      <c r="H45" s="53">
        <f t="shared" si="7"/>
        <v>9.94</v>
      </c>
      <c r="I45" t="s">
        <v>202</v>
      </c>
      <c r="J45" s="53">
        <f t="shared" si="8"/>
        <v>12.965217391304348</v>
      </c>
      <c r="K45" t="s">
        <v>203</v>
      </c>
      <c r="M45" s="59">
        <v>0</v>
      </c>
      <c r="N45" s="59">
        <v>0</v>
      </c>
      <c r="O45" s="55">
        <f ca="1">(M45*'Electrical 1-ph'!$Z$4)+(N45*'Electrical 1-ph'!$Z$7)</f>
        <v>0</v>
      </c>
      <c r="P45" s="55" t="str">
        <f t="shared" si="9"/>
        <v xml:space="preserve">Passes </v>
      </c>
    </row>
    <row r="46" spans="2:16">
      <c r="G46" t="s">
        <v>3</v>
      </c>
    </row>
    <row r="47" spans="2:16">
      <c r="D47" t="s">
        <v>236</v>
      </c>
      <c r="E47" t="s">
        <v>235</v>
      </c>
      <c r="F47">
        <f>H31*0.2</f>
        <v>1.8</v>
      </c>
      <c r="G47" t="s">
        <v>234</v>
      </c>
    </row>
    <row r="48" spans="2:16">
      <c r="D48" t="s">
        <v>3</v>
      </c>
      <c r="E48" t="s">
        <v>3</v>
      </c>
      <c r="F48" t="s">
        <v>3</v>
      </c>
    </row>
    <row r="50" spans="2:11">
      <c r="B50" s="79"/>
      <c r="C50" s="79" t="s">
        <v>294</v>
      </c>
    </row>
    <row r="51" spans="2:11">
      <c r="B51" s="80"/>
      <c r="C51" s="130" t="s">
        <v>489</v>
      </c>
    </row>
    <row r="52" spans="2:11" ht="13.5" thickBot="1">
      <c r="I52" t="s">
        <v>3</v>
      </c>
      <c r="K52" t="s">
        <v>3</v>
      </c>
    </row>
    <row r="53" spans="2:11">
      <c r="D53" s="201" t="s">
        <v>374</v>
      </c>
      <c r="E53" s="202"/>
      <c r="F53" s="202"/>
      <c r="G53" s="202"/>
      <c r="H53" s="203"/>
    </row>
    <row r="54" spans="2:11">
      <c r="D54" s="204"/>
      <c r="E54" s="205"/>
      <c r="F54" s="205"/>
      <c r="G54" s="205"/>
      <c r="H54" s="206"/>
    </row>
    <row r="55" spans="2:11" ht="13.5" thickBot="1">
      <c r="D55" s="207"/>
      <c r="E55" s="208"/>
      <c r="F55" s="208"/>
      <c r="G55" s="208"/>
      <c r="H55" s="209"/>
    </row>
    <row r="57" spans="2:11">
      <c r="D57" s="3"/>
      <c r="E57" s="191" t="s">
        <v>375</v>
      </c>
      <c r="F57" s="191"/>
      <c r="G57" s="200" t="s">
        <v>372</v>
      </c>
      <c r="H57" s="200" t="s">
        <v>371</v>
      </c>
    </row>
    <row r="58" spans="2:11">
      <c r="D58" s="84" t="s">
        <v>359</v>
      </c>
      <c r="E58" s="85" t="s">
        <v>360</v>
      </c>
      <c r="F58" s="86" t="s">
        <v>362</v>
      </c>
      <c r="G58" s="200"/>
      <c r="H58" s="200"/>
    </row>
    <row r="59" spans="2:11">
      <c r="D59" s="1" t="s">
        <v>361</v>
      </c>
      <c r="E59" s="55">
        <f ca="1">LOOKUP(H31,Plumbing!V6:V535,Plumbing!W6:W535)</f>
        <v>1</v>
      </c>
      <c r="F59" s="87">
        <f ca="1">LOOKUP(H31,Plumbing!V6:V535,Plumbing!X6:X535)</f>
        <v>1</v>
      </c>
      <c r="G59" s="55">
        <f ca="1">LOOKUP(H31,Plumbing!V6:V535,Plumbing!AA6:AA535)</f>
        <v>1</v>
      </c>
      <c r="H59" s="55">
        <v>1</v>
      </c>
    </row>
    <row r="60" spans="2:11">
      <c r="D60" s="1" t="s">
        <v>363</v>
      </c>
      <c r="E60" s="55">
        <f ca="1">LOOKUP(H32,Plumbing!V6:V535,Plumbing!Y6:Y535)</f>
        <v>1</v>
      </c>
      <c r="F60" s="87">
        <f ca="1">LOOKUP(H32,Plumbing!V6:V535,Plumbing!Z6:Z535)</f>
        <v>1</v>
      </c>
      <c r="G60" s="55">
        <f ca="1">LOOKUP(H32,Plumbing!V6:V535,Plumbing!AA6:AA535)</f>
        <v>1</v>
      </c>
      <c r="H60" s="55">
        <v>1</v>
      </c>
    </row>
    <row r="63" spans="2:11">
      <c r="D63" s="194" t="s">
        <v>3</v>
      </c>
      <c r="E63" s="195"/>
      <c r="F63" s="196"/>
    </row>
    <row r="64" spans="2:11">
      <c r="D64" s="197"/>
      <c r="E64" s="198"/>
      <c r="F64" s="199"/>
    </row>
    <row r="65" spans="4:6">
      <c r="D65" s="43" t="s">
        <v>377</v>
      </c>
      <c r="E65" s="90">
        <v>0</v>
      </c>
      <c r="F65" s="91" t="str">
        <f>IF(E65&lt;(0.67*(E59/2)),"Allowed","Not Allowed")</f>
        <v>Allowed</v>
      </c>
    </row>
    <row r="66" spans="4:6">
      <c r="D66" s="88" t="s">
        <v>378</v>
      </c>
      <c r="E66" s="59">
        <v>0</v>
      </c>
      <c r="F66" s="89" t="str">
        <f>IF(E66&lt;(0.67*(E60/2)),"Allowed","Not Allowed")</f>
        <v>Allowed</v>
      </c>
    </row>
  </sheetData>
  <sheetProtection selectLockedCells="1"/>
  <mergeCells count="19">
    <mergeCell ref="D63:F64"/>
    <mergeCell ref="G57:G58"/>
    <mergeCell ref="H57:H58"/>
    <mergeCell ref="D53:H55"/>
    <mergeCell ref="E57:F57"/>
    <mergeCell ref="W3:W4"/>
    <mergeCell ref="D39:E39"/>
    <mergeCell ref="D41:E41"/>
    <mergeCell ref="D43:E43"/>
    <mergeCell ref="D44:E44"/>
    <mergeCell ref="K39:L39"/>
    <mergeCell ref="K41:L41"/>
    <mergeCell ref="K42:L42"/>
    <mergeCell ref="K43:L43"/>
    <mergeCell ref="E3:S3"/>
    <mergeCell ref="K40:L40"/>
    <mergeCell ref="F14:M14"/>
    <mergeCell ref="F18:M18"/>
    <mergeCell ref="M36:N37"/>
  </mergeCells>
  <phoneticPr fontId="15" type="noConversion"/>
  <pageMargins left="0.7" right="0.7" top="0.75" bottom="0.75" header="0.3" footer="0.3"/>
  <pageSetup scale="5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284"/>
  <sheetViews>
    <sheetView showGridLines="0" tabSelected="1" topLeftCell="A35" zoomScale="85" zoomScaleNormal="85" workbookViewId="0">
      <selection activeCell="J51" sqref="J51"/>
    </sheetView>
  </sheetViews>
  <sheetFormatPr defaultRowHeight="12.75"/>
  <cols>
    <col min="1" max="1" width="5.28515625" customWidth="1"/>
    <col min="2" max="2" width="4.5703125" customWidth="1"/>
    <col min="3" max="3" width="2.85546875" customWidth="1"/>
    <col min="4" max="4" width="9.140625" hidden="1" customWidth="1"/>
    <col min="5" max="5" width="5.140625" customWidth="1"/>
    <col min="6" max="6" width="2.5703125" customWidth="1"/>
    <col min="7" max="7" width="16.7109375" customWidth="1"/>
    <col min="8" max="8" width="2.28515625" customWidth="1"/>
    <col min="9" max="9" width="11.140625" customWidth="1"/>
    <col min="10" max="10" width="7.28515625" customWidth="1"/>
    <col min="11" max="11" width="10.85546875" customWidth="1"/>
    <col min="12" max="12" width="32.28515625" customWidth="1"/>
    <col min="13" max="13" width="1.28515625" customWidth="1"/>
    <col min="14" max="14" width="10.5703125" customWidth="1"/>
    <col min="15" max="15" width="12.7109375" customWidth="1"/>
    <col min="16" max="16" width="4.42578125" customWidth="1"/>
    <col min="20" max="20" width="33" customWidth="1"/>
    <col min="21" max="21" width="1.28515625" customWidth="1"/>
    <col min="22" max="22" width="24.140625" customWidth="1"/>
    <col min="23" max="23" width="13.140625" customWidth="1"/>
    <col min="27" max="27" width="28.42578125" customWidth="1"/>
    <col min="28" max="28" width="2.7109375" customWidth="1"/>
    <col min="29" max="29" width="9.140625" style="27"/>
    <col min="30" max="30" width="9.7109375" style="27" customWidth="1"/>
    <col min="34" max="34" width="15.7109375" customWidth="1"/>
  </cols>
  <sheetData>
    <row r="1" spans="1:34">
      <c r="A1" s="227"/>
      <c r="B1" s="227"/>
      <c r="C1" s="227"/>
      <c r="D1" s="5"/>
      <c r="E1" s="5"/>
    </row>
    <row r="2" spans="1:34">
      <c r="A2" s="227"/>
      <c r="B2" s="227"/>
      <c r="C2" s="227"/>
      <c r="D2" s="5"/>
      <c r="E2" s="5"/>
    </row>
    <row r="3" spans="1:34">
      <c r="C3" s="5"/>
      <c r="D3" s="5"/>
      <c r="E3" s="5"/>
    </row>
    <row r="4" spans="1:34">
      <c r="C4" s="32"/>
      <c r="D4" s="5"/>
    </row>
    <row r="5" spans="1:34">
      <c r="C5" s="5"/>
      <c r="D5" s="5"/>
      <c r="E5" s="5"/>
    </row>
    <row r="6" spans="1:34">
      <c r="A6" s="5"/>
      <c r="B6" s="5"/>
      <c r="C6" s="5"/>
      <c r="D6" s="5"/>
      <c r="E6" s="5"/>
    </row>
    <row r="7" spans="1:34" ht="16.5" customHeight="1" thickBot="1"/>
    <row r="8" spans="1:34" ht="15.75" thickBot="1">
      <c r="F8" s="213" t="s">
        <v>11</v>
      </c>
      <c r="G8" s="214"/>
      <c r="H8" s="214"/>
      <c r="I8" s="214"/>
      <c r="J8" s="214"/>
      <c r="K8" s="214"/>
      <c r="L8" s="215"/>
      <c r="N8" s="210" t="s">
        <v>55</v>
      </c>
      <c r="O8" s="211"/>
      <c r="P8" s="211"/>
      <c r="Q8" s="211"/>
      <c r="R8" s="211"/>
      <c r="S8" s="211"/>
      <c r="T8" s="212"/>
      <c r="V8" s="213" t="s">
        <v>75</v>
      </c>
      <c r="W8" s="214"/>
      <c r="X8" s="214"/>
      <c r="Y8" s="214"/>
      <c r="Z8" s="214"/>
      <c r="AA8" s="215"/>
      <c r="AC8" s="213" t="s">
        <v>112</v>
      </c>
      <c r="AD8" s="220"/>
      <c r="AE8" s="220"/>
      <c r="AF8" s="220"/>
      <c r="AG8" s="220"/>
      <c r="AH8" s="221"/>
    </row>
    <row r="9" spans="1:34" s="8" customFormat="1">
      <c r="F9" s="136" t="s">
        <v>12</v>
      </c>
      <c r="G9" s="137"/>
      <c r="H9" s="137"/>
      <c r="I9" s="230" t="s">
        <v>656</v>
      </c>
      <c r="J9" s="230"/>
      <c r="K9" s="230"/>
      <c r="L9" s="231"/>
      <c r="N9" s="225" t="s">
        <v>56</v>
      </c>
      <c r="O9" s="226"/>
      <c r="P9" s="137" t="s">
        <v>108</v>
      </c>
      <c r="Q9" s="9"/>
      <c r="R9" s="9"/>
      <c r="S9" s="9"/>
      <c r="T9" s="82"/>
      <c r="V9" s="136" t="s">
        <v>76</v>
      </c>
      <c r="W9" s="137" t="s">
        <v>637</v>
      </c>
      <c r="X9" s="137"/>
      <c r="Y9" s="9"/>
      <c r="Z9" s="9"/>
      <c r="AA9" s="10"/>
      <c r="AC9" s="35"/>
      <c r="AD9" s="36"/>
      <c r="AE9" s="9"/>
      <c r="AF9" s="9"/>
      <c r="AG9" s="9"/>
      <c r="AH9" s="10"/>
    </row>
    <row r="10" spans="1:34" s="8" customFormat="1">
      <c r="F10" s="216" t="s">
        <v>13</v>
      </c>
      <c r="G10" s="217"/>
      <c r="H10" s="217"/>
      <c r="I10" s="217"/>
      <c r="J10" s="101"/>
      <c r="K10" s="138" t="s">
        <v>648</v>
      </c>
      <c r="L10" s="139"/>
      <c r="N10" s="216" t="s">
        <v>57</v>
      </c>
      <c r="O10" s="217"/>
      <c r="P10" s="138" t="s">
        <v>348</v>
      </c>
      <c r="Q10" s="12"/>
      <c r="R10" s="138" t="s">
        <v>636</v>
      </c>
      <c r="S10" s="12"/>
      <c r="T10" s="24"/>
      <c r="V10" s="141" t="s">
        <v>77</v>
      </c>
      <c r="W10" s="138" t="s">
        <v>625</v>
      </c>
      <c r="X10" s="138"/>
      <c r="Y10" s="12"/>
      <c r="Z10" s="12"/>
      <c r="AA10" s="13"/>
      <c r="AC10" s="37"/>
      <c r="AD10" s="25"/>
      <c r="AE10" s="12"/>
      <c r="AF10" s="12"/>
      <c r="AG10" s="12"/>
      <c r="AH10" s="13"/>
    </row>
    <row r="11" spans="1:34" s="8" customFormat="1">
      <c r="F11" s="140" t="s">
        <v>272</v>
      </c>
      <c r="G11" s="115"/>
      <c r="H11" s="115"/>
      <c r="I11" s="138"/>
      <c r="J11" s="138"/>
      <c r="K11" s="138"/>
      <c r="L11" s="139"/>
      <c r="N11" s="216" t="s">
        <v>58</v>
      </c>
      <c r="O11" s="217"/>
      <c r="P11" s="138" t="s">
        <v>651</v>
      </c>
      <c r="Q11" s="12"/>
      <c r="R11" s="12"/>
      <c r="S11" s="12"/>
      <c r="T11" s="24"/>
      <c r="V11" s="141" t="s">
        <v>78</v>
      </c>
      <c r="W11" s="138" t="s">
        <v>327</v>
      </c>
      <c r="X11" s="138"/>
      <c r="Y11" s="12"/>
      <c r="Z11" s="12"/>
      <c r="AA11" s="13"/>
      <c r="AC11" s="37"/>
      <c r="AD11" s="151" t="s">
        <v>666</v>
      </c>
      <c r="AE11" s="12"/>
      <c r="AF11" s="12"/>
      <c r="AG11" s="12"/>
      <c r="AH11" s="13"/>
    </row>
    <row r="12" spans="1:34" s="8" customFormat="1" ht="13.5" thickBot="1">
      <c r="F12" s="140" t="s">
        <v>3</v>
      </c>
      <c r="G12" s="115" t="s">
        <v>493</v>
      </c>
      <c r="H12" s="115"/>
      <c r="I12" s="138"/>
      <c r="J12" s="138"/>
      <c r="K12" s="138"/>
      <c r="L12" s="139"/>
      <c r="N12" s="216" t="s">
        <v>59</v>
      </c>
      <c r="O12" s="217"/>
      <c r="P12" s="138" t="s">
        <v>652</v>
      </c>
      <c r="Q12" s="12"/>
      <c r="R12" s="12"/>
      <c r="S12" s="12"/>
      <c r="T12" s="24"/>
      <c r="V12" s="141" t="s">
        <v>62</v>
      </c>
      <c r="W12" s="138" t="s">
        <v>623</v>
      </c>
      <c r="X12" s="138"/>
      <c r="Y12" s="12"/>
      <c r="Z12" s="12"/>
      <c r="AA12" s="13"/>
      <c r="AC12" s="38"/>
      <c r="AD12" s="16"/>
      <c r="AE12" s="14"/>
      <c r="AF12" s="14"/>
      <c r="AG12" s="14"/>
      <c r="AH12" s="15"/>
    </row>
    <row r="13" spans="1:34" s="8" customFormat="1" ht="13.5" thickBot="1">
      <c r="F13" s="140" t="s">
        <v>3</v>
      </c>
      <c r="G13" s="115" t="s">
        <v>494</v>
      </c>
      <c r="H13" s="115"/>
      <c r="I13" s="138"/>
      <c r="J13" s="138"/>
      <c r="K13" s="138"/>
      <c r="L13" s="139"/>
      <c r="N13" s="216" t="s">
        <v>60</v>
      </c>
      <c r="O13" s="217"/>
      <c r="P13" s="138" t="s">
        <v>613</v>
      </c>
      <c r="Q13" s="12"/>
      <c r="R13" s="12"/>
      <c r="S13" s="12"/>
      <c r="T13" s="24"/>
      <c r="V13" s="141"/>
      <c r="W13" s="138"/>
      <c r="X13" s="138" t="s">
        <v>328</v>
      </c>
      <c r="Y13" s="12"/>
      <c r="Z13" s="12"/>
      <c r="AA13" s="13"/>
      <c r="AC13"/>
      <c r="AD13"/>
      <c r="AE13"/>
      <c r="AF13"/>
      <c r="AG13"/>
      <c r="AH13"/>
    </row>
    <row r="14" spans="1:34" s="8" customFormat="1" ht="15.75" thickBot="1">
      <c r="F14" s="140" t="s">
        <v>3</v>
      </c>
      <c r="G14" s="115" t="s">
        <v>590</v>
      </c>
      <c r="H14" s="115"/>
      <c r="I14" s="138"/>
      <c r="J14" s="138"/>
      <c r="K14" s="138"/>
      <c r="L14" s="139"/>
      <c r="N14" s="141" t="s">
        <v>61</v>
      </c>
      <c r="O14" s="138"/>
      <c r="P14" s="138" t="s">
        <v>603</v>
      </c>
      <c r="Q14" s="12"/>
      <c r="R14" s="12"/>
      <c r="S14" s="12"/>
      <c r="T14" s="24"/>
      <c r="V14" s="141" t="s">
        <v>81</v>
      </c>
      <c r="W14" s="138" t="s">
        <v>504</v>
      </c>
      <c r="X14" s="133"/>
      <c r="Y14" s="12"/>
      <c r="Z14" s="12"/>
      <c r="AA14" s="13"/>
      <c r="AC14" s="213" t="s">
        <v>149</v>
      </c>
      <c r="AD14" s="214"/>
      <c r="AE14" s="214"/>
      <c r="AF14" s="214"/>
      <c r="AG14" s="214"/>
      <c r="AH14" s="215"/>
    </row>
    <row r="15" spans="1:34" s="8" customFormat="1" ht="12.75" customHeight="1">
      <c r="F15" s="140" t="s">
        <v>3</v>
      </c>
      <c r="G15" s="115" t="s">
        <v>495</v>
      </c>
      <c r="H15" s="115"/>
      <c r="I15" s="138"/>
      <c r="J15" s="138"/>
      <c r="K15" s="138"/>
      <c r="L15" s="139"/>
      <c r="N15" s="141" t="s">
        <v>62</v>
      </c>
      <c r="O15" s="138"/>
      <c r="P15" s="138" t="s">
        <v>614</v>
      </c>
      <c r="Q15" s="12"/>
      <c r="R15" s="12"/>
      <c r="S15" s="12"/>
      <c r="T15" s="24"/>
      <c r="V15" s="141" t="s">
        <v>79</v>
      </c>
      <c r="W15" s="138" t="s">
        <v>329</v>
      </c>
      <c r="X15" s="138"/>
      <c r="Y15" s="12"/>
      <c r="Z15" s="12"/>
      <c r="AA15" s="13"/>
      <c r="AC15" s="40"/>
      <c r="AD15" s="36"/>
      <c r="AE15" s="9"/>
      <c r="AF15" s="9"/>
      <c r="AG15" s="9"/>
      <c r="AH15" s="10"/>
    </row>
    <row r="16" spans="1:34" s="8" customFormat="1">
      <c r="F16" s="140" t="s">
        <v>3</v>
      </c>
      <c r="G16" s="115" t="s">
        <v>496</v>
      </c>
      <c r="H16" s="115"/>
      <c r="I16" s="138"/>
      <c r="J16" s="138"/>
      <c r="K16" s="138"/>
      <c r="L16" s="139"/>
      <c r="N16" s="141"/>
      <c r="O16" s="138"/>
      <c r="P16" s="138" t="s">
        <v>647</v>
      </c>
      <c r="Q16" s="12"/>
      <c r="R16" s="12"/>
      <c r="S16" s="12"/>
      <c r="T16" s="24"/>
      <c r="V16" s="141" t="s">
        <v>80</v>
      </c>
      <c r="W16" s="138" t="s">
        <v>663</v>
      </c>
      <c r="X16" s="138"/>
      <c r="Y16" s="12"/>
      <c r="Z16" s="12"/>
      <c r="AA16" s="13"/>
      <c r="AC16" s="169" t="s">
        <v>157</v>
      </c>
      <c r="AD16" s="170" t="s">
        <v>150</v>
      </c>
      <c r="AE16" s="171"/>
      <c r="AF16" s="172"/>
      <c r="AG16" s="173">
        <f>0.5/12</f>
        <v>4.1666666666666664E-2</v>
      </c>
      <c r="AH16" s="139"/>
    </row>
    <row r="17" spans="6:34" s="8" customFormat="1" ht="13.5" thickBot="1">
      <c r="F17" s="140"/>
      <c r="G17" s="115" t="s">
        <v>339</v>
      </c>
      <c r="H17" s="115"/>
      <c r="I17" s="138"/>
      <c r="J17" s="138"/>
      <c r="K17" s="138"/>
      <c r="L17" s="139"/>
      <c r="N17" s="164" t="s">
        <v>63</v>
      </c>
      <c r="O17" s="148"/>
      <c r="P17" s="148" t="s">
        <v>615</v>
      </c>
      <c r="Q17" s="14"/>
      <c r="R17" s="14"/>
      <c r="S17" s="14"/>
      <c r="T17" s="7"/>
      <c r="V17" s="141" t="s">
        <v>624</v>
      </c>
      <c r="W17" s="166" t="s">
        <v>71</v>
      </c>
      <c r="X17" s="138"/>
      <c r="Y17" s="12"/>
      <c r="Z17" s="12"/>
      <c r="AA17" s="139"/>
      <c r="AC17" s="169"/>
      <c r="AD17" s="170"/>
      <c r="AE17" s="171"/>
      <c r="AF17" s="172"/>
      <c r="AG17" s="173"/>
      <c r="AH17" s="139"/>
    </row>
    <row r="18" spans="6:34" s="8" customFormat="1" ht="13.5" thickBot="1">
      <c r="F18" s="141" t="s">
        <v>17</v>
      </c>
      <c r="G18" s="138"/>
      <c r="H18" s="138"/>
      <c r="I18" s="101" t="str">
        <f ca="1">Inputs!E24</f>
        <v>B</v>
      </c>
      <c r="J18" s="138"/>
      <c r="K18" s="138"/>
      <c r="L18" s="139"/>
      <c r="V18" s="141" t="s">
        <v>57</v>
      </c>
      <c r="W18" s="138" t="s">
        <v>664</v>
      </c>
      <c r="X18" s="138"/>
      <c r="Y18" s="12"/>
      <c r="Z18" s="12"/>
      <c r="AA18" s="13"/>
      <c r="AC18" s="169" t="s">
        <v>503</v>
      </c>
      <c r="AD18" s="222" t="s">
        <v>502</v>
      </c>
      <c r="AE18" s="223"/>
      <c r="AF18" s="224"/>
      <c r="AG18" s="173">
        <v>1.33</v>
      </c>
      <c r="AH18" s="139"/>
    </row>
    <row r="19" spans="6:34" s="8" customFormat="1" ht="15.75" thickBot="1">
      <c r="F19" s="142" t="s">
        <v>19</v>
      </c>
      <c r="G19" s="143"/>
      <c r="H19" s="143"/>
      <c r="I19" s="101" t="s">
        <v>20</v>
      </c>
      <c r="J19" s="133"/>
      <c r="K19" s="138"/>
      <c r="L19" s="139"/>
      <c r="N19" s="210" t="s">
        <v>64</v>
      </c>
      <c r="O19" s="211"/>
      <c r="P19" s="211"/>
      <c r="Q19" s="211"/>
      <c r="R19" s="211"/>
      <c r="S19" s="211"/>
      <c r="T19" s="212"/>
      <c r="V19" s="141" t="s">
        <v>82</v>
      </c>
      <c r="W19" s="138" t="s">
        <v>341</v>
      </c>
      <c r="X19" s="138"/>
      <c r="Y19" s="12"/>
      <c r="Z19" s="12"/>
      <c r="AA19" s="139"/>
      <c r="AC19" s="169" t="s">
        <v>500</v>
      </c>
      <c r="AD19" s="174" t="s">
        <v>3</v>
      </c>
      <c r="AE19" s="175" t="s">
        <v>501</v>
      </c>
      <c r="AF19" s="173"/>
      <c r="AG19" s="173">
        <v>0</v>
      </c>
      <c r="AH19" s="139"/>
    </row>
    <row r="20" spans="6:34" s="8" customFormat="1">
      <c r="F20" s="141"/>
      <c r="G20" s="138"/>
      <c r="H20" s="138"/>
      <c r="I20" s="101"/>
      <c r="J20" s="138"/>
      <c r="K20" s="138"/>
      <c r="L20" s="139"/>
      <c r="N20" s="225" t="s">
        <v>350</v>
      </c>
      <c r="O20" s="226"/>
      <c r="P20" s="226"/>
      <c r="Q20" s="226"/>
      <c r="R20" s="226"/>
      <c r="S20" s="226"/>
      <c r="T20" s="180"/>
      <c r="V20" s="141" t="s">
        <v>173</v>
      </c>
      <c r="W20" s="138" t="s">
        <v>340</v>
      </c>
      <c r="X20" s="138"/>
      <c r="Y20" s="12"/>
      <c r="Z20" s="12"/>
      <c r="AA20" s="13"/>
      <c r="AC20" s="169" t="s">
        <v>323</v>
      </c>
      <c r="AD20" s="174"/>
      <c r="AE20" s="175" t="s">
        <v>151</v>
      </c>
      <c r="AF20" s="173"/>
      <c r="AG20" s="173">
        <v>10.1</v>
      </c>
      <c r="AH20" s="139" t="s">
        <v>3</v>
      </c>
    </row>
    <row r="21" spans="6:34" s="8" customFormat="1" ht="15.75" customHeight="1" thickBot="1">
      <c r="F21" s="228" t="s">
        <v>21</v>
      </c>
      <c r="G21" s="229"/>
      <c r="H21" s="229"/>
      <c r="I21" s="229"/>
      <c r="J21" s="144" t="s">
        <v>22</v>
      </c>
      <c r="K21" s="145" t="s">
        <v>23</v>
      </c>
      <c r="L21" s="146" t="s">
        <v>24</v>
      </c>
      <c r="N21" s="216" t="s">
        <v>353</v>
      </c>
      <c r="O21" s="217"/>
      <c r="P21" s="217"/>
      <c r="Q21" s="217"/>
      <c r="R21" s="217"/>
      <c r="S21" s="217"/>
      <c r="T21" s="179"/>
      <c r="V21" s="19"/>
      <c r="W21" s="14" t="s">
        <v>3</v>
      </c>
      <c r="X21" s="14"/>
      <c r="Y21" s="14"/>
      <c r="Z21" s="14"/>
      <c r="AA21" s="15"/>
      <c r="AC21" s="169" t="s">
        <v>159</v>
      </c>
      <c r="AD21" s="174"/>
      <c r="AE21" s="175" t="s">
        <v>153</v>
      </c>
      <c r="AF21" s="173"/>
      <c r="AG21" s="173">
        <f>0.25/12</f>
        <v>2.0833333333333332E-2</v>
      </c>
      <c r="AH21" s="139" t="s">
        <v>3</v>
      </c>
    </row>
    <row r="22" spans="6:34" s="8" customFormat="1" ht="13.5" thickBot="1">
      <c r="N22" s="236" t="s">
        <v>352</v>
      </c>
      <c r="O22" s="237"/>
      <c r="P22" s="237"/>
      <c r="Q22" s="237"/>
      <c r="R22" s="237"/>
      <c r="S22" s="237"/>
      <c r="T22" s="181"/>
      <c r="AC22" s="169" t="s">
        <v>600</v>
      </c>
      <c r="AD22" s="174"/>
      <c r="AE22" s="175" t="s">
        <v>152</v>
      </c>
      <c r="AF22" s="173"/>
      <c r="AG22" s="173">
        <v>0.125</v>
      </c>
      <c r="AH22" s="139" t="s">
        <v>3</v>
      </c>
    </row>
    <row r="23" spans="6:34" ht="15.75" thickBot="1">
      <c r="F23" s="210" t="s">
        <v>25</v>
      </c>
      <c r="G23" s="211"/>
      <c r="H23" s="211"/>
      <c r="I23" s="211"/>
      <c r="J23" s="211"/>
      <c r="K23" s="211"/>
      <c r="L23" s="212"/>
      <c r="N23" s="236" t="s">
        <v>351</v>
      </c>
      <c r="O23" s="237"/>
      <c r="P23" s="237"/>
      <c r="Q23" s="237"/>
      <c r="R23" s="237"/>
      <c r="S23" s="237"/>
      <c r="T23" s="181"/>
      <c r="V23" s="213" t="s">
        <v>110</v>
      </c>
      <c r="W23" s="214"/>
      <c r="X23" s="214"/>
      <c r="Y23" s="214"/>
      <c r="Z23" s="214"/>
      <c r="AA23" s="215"/>
      <c r="AC23" s="169" t="s">
        <v>158</v>
      </c>
      <c r="AD23" s="174"/>
      <c r="AE23" s="175" t="s">
        <v>154</v>
      </c>
      <c r="AF23" s="173"/>
      <c r="AG23" s="173">
        <f>7.25/12</f>
        <v>0.60416666666666663</v>
      </c>
      <c r="AH23" s="139"/>
    </row>
    <row r="24" spans="6:34" s="8" customFormat="1">
      <c r="F24" s="136" t="s">
        <v>26</v>
      </c>
      <c r="G24" s="137"/>
      <c r="H24" s="137"/>
      <c r="I24" s="137"/>
      <c r="J24" s="137">
        <v>30</v>
      </c>
      <c r="K24" s="137" t="s">
        <v>448</v>
      </c>
      <c r="L24" s="147"/>
      <c r="N24" s="141" t="s">
        <v>65</v>
      </c>
      <c r="O24" s="138" t="s">
        <v>508</v>
      </c>
      <c r="P24" s="138"/>
      <c r="Q24" s="138"/>
      <c r="R24" s="138"/>
      <c r="S24" s="138"/>
      <c r="T24" s="13"/>
      <c r="V24" s="136" t="s">
        <v>83</v>
      </c>
      <c r="W24" s="137" t="s">
        <v>548</v>
      </c>
      <c r="X24" s="9"/>
      <c r="Y24" s="9"/>
      <c r="Z24" s="9"/>
      <c r="AA24" s="10"/>
      <c r="AC24" s="169" t="s">
        <v>552</v>
      </c>
      <c r="AD24" s="174"/>
      <c r="AE24" s="175" t="s">
        <v>155</v>
      </c>
      <c r="AF24" s="173"/>
      <c r="AG24" s="173">
        <v>2.5830000000000002</v>
      </c>
      <c r="AH24" s="139"/>
    </row>
    <row r="25" spans="6:34" s="8" customFormat="1">
      <c r="F25" s="141" t="s">
        <v>27</v>
      </c>
      <c r="G25" s="138"/>
      <c r="H25" s="138"/>
      <c r="I25" s="138"/>
      <c r="J25" s="138">
        <v>50</v>
      </c>
      <c r="K25" s="138" t="s">
        <v>551</v>
      </c>
      <c r="L25" s="139"/>
      <c r="N25" s="216" t="s">
        <v>66</v>
      </c>
      <c r="O25" s="217"/>
      <c r="P25" s="217"/>
      <c r="Q25" s="217"/>
      <c r="R25" s="138"/>
      <c r="S25" s="138"/>
      <c r="T25" s="13"/>
      <c r="V25" s="167" t="s">
        <v>84</v>
      </c>
      <c r="W25" s="138" t="s">
        <v>640</v>
      </c>
      <c r="X25" s="23"/>
      <c r="Y25" s="23"/>
      <c r="Z25" s="23"/>
      <c r="AA25" s="24"/>
      <c r="AC25" s="176"/>
      <c r="AD25" s="165"/>
      <c r="AE25" s="138" t="s">
        <v>3</v>
      </c>
      <c r="AF25" s="138"/>
      <c r="AG25" s="138">
        <f>SUM(AG16:AG24)</f>
        <v>14.804666666666666</v>
      </c>
      <c r="AH25" s="139" t="s">
        <v>156</v>
      </c>
    </row>
    <row r="26" spans="6:34" s="8" customFormat="1">
      <c r="F26" s="216" t="s">
        <v>28</v>
      </c>
      <c r="G26" s="217"/>
      <c r="H26" s="217"/>
      <c r="I26" s="217"/>
      <c r="J26" s="138" t="s">
        <v>349</v>
      </c>
      <c r="K26" s="138"/>
      <c r="L26" s="139"/>
      <c r="N26" s="142" t="s">
        <v>616</v>
      </c>
      <c r="O26" s="143"/>
      <c r="P26" s="143"/>
      <c r="Q26" s="143"/>
      <c r="R26" s="143"/>
      <c r="S26" s="138"/>
      <c r="T26" s="13"/>
      <c r="V26" s="141"/>
      <c r="W26" s="138"/>
      <c r="X26" s="12"/>
      <c r="Y26" s="12"/>
      <c r="Z26" s="12"/>
      <c r="AA26" s="13"/>
      <c r="AC26" s="176"/>
      <c r="AD26" s="165"/>
      <c r="AE26" s="138"/>
      <c r="AF26" s="138" t="s">
        <v>161</v>
      </c>
      <c r="AG26" s="165" t="s">
        <v>592</v>
      </c>
      <c r="AH26" s="139" t="s">
        <v>162</v>
      </c>
    </row>
    <row r="27" spans="6:34" s="8" customFormat="1">
      <c r="F27" s="141" t="s">
        <v>29</v>
      </c>
      <c r="G27" s="138"/>
      <c r="H27" s="138"/>
      <c r="I27" s="138"/>
      <c r="J27" s="138" t="s">
        <v>490</v>
      </c>
      <c r="K27" s="138"/>
      <c r="L27" s="139"/>
      <c r="N27" s="216" t="s">
        <v>617</v>
      </c>
      <c r="O27" s="217"/>
      <c r="P27" s="217"/>
      <c r="Q27" s="138" t="s">
        <v>612</v>
      </c>
      <c r="R27" s="138"/>
      <c r="S27" s="138"/>
      <c r="T27" s="13"/>
      <c r="V27" s="141" t="s">
        <v>85</v>
      </c>
      <c r="W27" s="138" t="s">
        <v>541</v>
      </c>
      <c r="X27" s="12"/>
      <c r="Y27" s="12"/>
      <c r="Z27" s="12"/>
      <c r="AA27" s="13"/>
      <c r="AC27" s="176"/>
      <c r="AD27" s="165"/>
      <c r="AE27" s="219" t="s">
        <v>535</v>
      </c>
      <c r="AF27" s="219"/>
      <c r="AG27" s="138">
        <f>B5*28</f>
        <v>0</v>
      </c>
      <c r="AH27" s="139" t="s">
        <v>163</v>
      </c>
    </row>
    <row r="28" spans="6:34" s="8" customFormat="1" ht="13.5" thickBot="1">
      <c r="F28" s="141" t="s">
        <v>30</v>
      </c>
      <c r="G28" s="138"/>
      <c r="H28" s="138"/>
      <c r="I28" s="138" t="s">
        <v>18</v>
      </c>
      <c r="J28" s="138"/>
      <c r="K28" s="138"/>
      <c r="L28" s="139"/>
      <c r="N28" s="216" t="s">
        <v>618</v>
      </c>
      <c r="O28" s="217"/>
      <c r="P28" s="217"/>
      <c r="Q28" s="138"/>
      <c r="R28" s="138"/>
      <c r="S28" s="138"/>
      <c r="T28" s="13"/>
      <c r="V28" s="141" t="s">
        <v>86</v>
      </c>
      <c r="W28" s="138" t="s">
        <v>626</v>
      </c>
      <c r="X28" s="12"/>
      <c r="Y28" s="12"/>
      <c r="Z28" s="12"/>
      <c r="AA28" s="13"/>
      <c r="AC28" s="38"/>
      <c r="AD28" s="16"/>
      <c r="AE28" s="14"/>
      <c r="AF28" s="14"/>
      <c r="AG28" s="14"/>
      <c r="AH28" s="15"/>
    </row>
    <row r="29" spans="6:34" s="8" customFormat="1" ht="13.5" thickBot="1">
      <c r="F29" s="228" t="s">
        <v>31</v>
      </c>
      <c r="G29" s="229"/>
      <c r="H29" s="229"/>
      <c r="I29" s="229"/>
      <c r="J29" s="148" t="s">
        <v>18</v>
      </c>
      <c r="K29" s="148"/>
      <c r="L29" s="149"/>
      <c r="N29" s="142" t="s">
        <v>619</v>
      </c>
      <c r="O29" s="142"/>
      <c r="P29" s="142"/>
      <c r="Q29" s="143"/>
      <c r="R29" s="138"/>
      <c r="S29" s="143"/>
      <c r="T29" s="139"/>
      <c r="V29" s="141" t="s">
        <v>87</v>
      </c>
      <c r="W29" s="138" t="s">
        <v>591</v>
      </c>
      <c r="X29" s="12"/>
      <c r="Y29" s="12"/>
      <c r="Z29" s="12"/>
      <c r="AA29" s="13"/>
      <c r="AC29"/>
      <c r="AD29"/>
      <c r="AE29"/>
      <c r="AF29"/>
      <c r="AG29"/>
      <c r="AH29"/>
    </row>
    <row r="30" spans="6:34" s="8" customFormat="1" ht="15.75" thickBot="1">
      <c r="N30" s="216" t="s">
        <v>620</v>
      </c>
      <c r="O30" s="217"/>
      <c r="P30" s="217"/>
      <c r="Q30" s="151"/>
      <c r="R30" s="138"/>
      <c r="S30" s="151"/>
      <c r="T30" s="139"/>
      <c r="V30" s="141"/>
      <c r="W30" s="138" t="s">
        <v>627</v>
      </c>
      <c r="X30" s="12"/>
      <c r="Y30" s="12"/>
      <c r="Z30" s="12"/>
      <c r="AA30" s="13"/>
      <c r="AC30" s="213" t="s">
        <v>180</v>
      </c>
      <c r="AD30" s="214"/>
      <c r="AE30" s="214"/>
      <c r="AF30" s="214"/>
      <c r="AG30" s="214"/>
      <c r="AH30" s="215"/>
    </row>
    <row r="31" spans="6:34" s="8" customFormat="1" ht="15.75" thickBot="1">
      <c r="F31" s="213" t="s">
        <v>32</v>
      </c>
      <c r="G31" s="214"/>
      <c r="H31" s="214"/>
      <c r="I31" s="214"/>
      <c r="J31" s="214"/>
      <c r="K31" s="214"/>
      <c r="L31" s="215"/>
      <c r="N31" s="238" t="s">
        <v>3</v>
      </c>
      <c r="O31" s="239"/>
      <c r="P31" s="182"/>
      <c r="Q31" s="178" t="s">
        <v>3</v>
      </c>
      <c r="R31" s="178" t="s">
        <v>3</v>
      </c>
      <c r="S31" s="178"/>
      <c r="T31" s="179"/>
      <c r="V31" s="141" t="s">
        <v>598</v>
      </c>
      <c r="W31" s="166" t="s">
        <v>71</v>
      </c>
      <c r="X31" s="12"/>
      <c r="Y31" s="12"/>
      <c r="Z31" s="12"/>
      <c r="AA31" s="13"/>
      <c r="AC31" s="136" t="s">
        <v>549</v>
      </c>
      <c r="AD31" s="137"/>
      <c r="AE31" s="137"/>
      <c r="AF31" s="137"/>
      <c r="AG31" s="137"/>
      <c r="AH31" s="147"/>
    </row>
    <row r="32" spans="6:34" ht="15.95" customHeight="1" thickBot="1">
      <c r="F32" s="233" t="s">
        <v>170</v>
      </c>
      <c r="G32" s="234"/>
      <c r="H32" s="234"/>
      <c r="I32" s="234"/>
      <c r="J32" s="234"/>
      <c r="K32" s="234"/>
      <c r="L32" s="235"/>
      <c r="N32" s="19" t="s">
        <v>3</v>
      </c>
      <c r="O32" s="6" t="s">
        <v>3</v>
      </c>
      <c r="P32" s="6" t="s">
        <v>3</v>
      </c>
      <c r="Q32" s="148" t="s">
        <v>501</v>
      </c>
      <c r="R32" s="6" t="s">
        <v>3</v>
      </c>
      <c r="S32" s="6"/>
      <c r="T32" s="7"/>
      <c r="V32" s="141" t="s">
        <v>88</v>
      </c>
      <c r="W32" s="151" t="s">
        <v>641</v>
      </c>
      <c r="X32" s="47"/>
      <c r="Y32" s="47"/>
      <c r="Z32" s="47"/>
      <c r="AA32" s="48"/>
      <c r="AC32" s="150" t="s">
        <v>540</v>
      </c>
      <c r="AD32" s="151"/>
      <c r="AE32" s="151"/>
      <c r="AF32" s="151"/>
      <c r="AG32" s="151"/>
      <c r="AH32" s="152"/>
    </row>
    <row r="33" spans="5:40" s="8" customFormat="1" ht="12.75" customHeight="1" thickBot="1">
      <c r="E33" s="8" t="s">
        <v>3</v>
      </c>
      <c r="F33" s="150" t="s">
        <v>497</v>
      </c>
      <c r="G33" s="151"/>
      <c r="H33" s="151"/>
      <c r="I33" s="151"/>
      <c r="J33" s="151"/>
      <c r="K33" s="151"/>
      <c r="L33" s="152"/>
      <c r="T33" s="8" t="s">
        <v>3</v>
      </c>
      <c r="V33" s="141" t="s">
        <v>145</v>
      </c>
      <c r="W33" s="151" t="s">
        <v>71</v>
      </c>
      <c r="X33" s="47"/>
      <c r="Y33" s="47"/>
      <c r="Z33" s="47"/>
      <c r="AA33" s="48"/>
      <c r="AC33" s="150" t="s">
        <v>181</v>
      </c>
      <c r="AD33" s="151"/>
      <c r="AE33" s="151"/>
      <c r="AF33" s="151"/>
      <c r="AG33" s="151"/>
      <c r="AH33" s="152"/>
    </row>
    <row r="34" spans="5:40" s="8" customFormat="1" ht="15.75" thickBot="1">
      <c r="F34" s="150" t="s">
        <v>667</v>
      </c>
      <c r="G34" s="151"/>
      <c r="H34" s="151"/>
      <c r="I34" s="151"/>
      <c r="J34" s="151"/>
      <c r="K34" s="151"/>
      <c r="L34" s="152"/>
      <c r="N34" s="210" t="s">
        <v>653</v>
      </c>
      <c r="O34" s="211"/>
      <c r="P34" s="211"/>
      <c r="Q34" s="211"/>
      <c r="R34" s="211"/>
      <c r="S34" s="211"/>
      <c r="T34" s="212"/>
      <c r="V34" s="141" t="s">
        <v>89</v>
      </c>
      <c r="W34" s="138" t="s">
        <v>634</v>
      </c>
      <c r="X34" s="23"/>
      <c r="Y34" s="23"/>
      <c r="Z34" s="23"/>
      <c r="AA34" s="24"/>
      <c r="AC34" s="216" t="s">
        <v>182</v>
      </c>
      <c r="AD34" s="217"/>
      <c r="AE34" s="217"/>
      <c r="AF34" s="217"/>
      <c r="AG34" s="217"/>
      <c r="AH34" s="218"/>
    </row>
    <row r="35" spans="5:40" s="8" customFormat="1">
      <c r="F35" s="216" t="s">
        <v>498</v>
      </c>
      <c r="G35" s="217"/>
      <c r="H35" s="217"/>
      <c r="I35" s="217"/>
      <c r="J35" s="217"/>
      <c r="K35" s="217"/>
      <c r="L35" s="218"/>
      <c r="N35" s="136" t="s">
        <v>354</v>
      </c>
      <c r="O35" s="137"/>
      <c r="P35" s="137"/>
      <c r="Q35" s="137"/>
      <c r="R35" s="137"/>
      <c r="S35" s="137"/>
      <c r="T35" s="10"/>
      <c r="V35" s="141" t="s">
        <v>90</v>
      </c>
      <c r="W35" s="138" t="s">
        <v>547</v>
      </c>
      <c r="X35" s="12"/>
      <c r="Y35" s="12"/>
      <c r="Z35" s="12"/>
      <c r="AA35" s="13"/>
      <c r="AC35" s="216" t="s">
        <v>265</v>
      </c>
      <c r="AD35" s="217"/>
      <c r="AE35" s="217"/>
      <c r="AF35" s="217"/>
      <c r="AG35" s="217"/>
      <c r="AH35" s="218"/>
    </row>
    <row r="36" spans="5:40" s="8" customFormat="1" ht="13.5" customHeight="1">
      <c r="F36" s="216" t="s">
        <v>609</v>
      </c>
      <c r="G36" s="217"/>
      <c r="H36" s="217"/>
      <c r="I36" s="217"/>
      <c r="J36" s="217"/>
      <c r="K36" s="217"/>
      <c r="L36" s="218"/>
      <c r="N36" s="141" t="s">
        <v>346</v>
      </c>
      <c r="O36" s="138"/>
      <c r="P36" s="138"/>
      <c r="Q36" s="138"/>
      <c r="R36" s="138"/>
      <c r="S36" s="138"/>
      <c r="T36" s="13"/>
      <c r="V36" s="141"/>
      <c r="W36" s="138" t="s">
        <v>505</v>
      </c>
      <c r="X36" s="12"/>
      <c r="Y36" s="12"/>
      <c r="Z36" s="12"/>
      <c r="AA36" s="13"/>
      <c r="AC36" s="216" t="s">
        <v>553</v>
      </c>
      <c r="AD36" s="217"/>
      <c r="AE36" s="217"/>
      <c r="AF36" s="217"/>
      <c r="AG36" s="217"/>
      <c r="AH36" s="218"/>
    </row>
    <row r="37" spans="5:40" s="8" customFormat="1" ht="13.5" thickBot="1">
      <c r="F37" s="228" t="s">
        <v>593</v>
      </c>
      <c r="G37" s="229"/>
      <c r="H37" s="229"/>
      <c r="I37" s="229"/>
      <c r="J37" s="229"/>
      <c r="K37" s="229"/>
      <c r="L37" s="232"/>
      <c r="N37" s="141" t="s">
        <v>355</v>
      </c>
      <c r="O37" s="138"/>
      <c r="P37" s="138"/>
      <c r="Q37" s="138"/>
      <c r="R37" s="138"/>
      <c r="S37" s="138"/>
      <c r="T37" s="13"/>
      <c r="V37" s="141"/>
      <c r="W37" s="138" t="s">
        <v>506</v>
      </c>
      <c r="X37" s="12"/>
      <c r="Y37" s="12"/>
      <c r="Z37" s="12"/>
      <c r="AA37" s="13"/>
      <c r="AC37" s="164" t="s">
        <v>184</v>
      </c>
      <c r="AD37" s="148"/>
      <c r="AE37" s="148"/>
      <c r="AF37" s="148"/>
      <c r="AG37" s="148"/>
      <c r="AH37" s="149"/>
    </row>
    <row r="38" spans="5:40" s="8" customFormat="1" ht="13.5" thickBot="1">
      <c r="N38" s="141" t="s">
        <v>356</v>
      </c>
      <c r="O38" s="138"/>
      <c r="P38" s="138"/>
      <c r="Q38" s="138"/>
      <c r="R38" s="138"/>
      <c r="S38" s="138"/>
      <c r="T38" s="13"/>
      <c r="V38" s="141"/>
      <c r="W38" s="151"/>
      <c r="X38" s="47"/>
      <c r="Y38" s="47"/>
      <c r="Z38" s="47"/>
      <c r="AA38" s="48"/>
    </row>
    <row r="39" spans="5:40" ht="15.75" thickBot="1">
      <c r="F39" s="213" t="s">
        <v>237</v>
      </c>
      <c r="G39" s="214"/>
      <c r="H39" s="214"/>
      <c r="I39" s="214"/>
      <c r="J39" s="214"/>
      <c r="K39" s="214"/>
      <c r="L39" s="215"/>
      <c r="N39" s="141" t="s">
        <v>347</v>
      </c>
      <c r="O39" s="138"/>
      <c r="P39" s="138"/>
      <c r="Q39" s="138"/>
      <c r="R39" s="138"/>
      <c r="S39" s="138"/>
      <c r="T39" s="24"/>
      <c r="V39" s="141" t="s">
        <v>91</v>
      </c>
      <c r="W39" s="138" t="s">
        <v>599</v>
      </c>
      <c r="X39" s="12"/>
      <c r="Y39" s="12"/>
      <c r="Z39" s="12"/>
      <c r="AA39" s="13"/>
      <c r="AC39" s="8"/>
      <c r="AD39" s="8"/>
      <c r="AE39" s="8"/>
      <c r="AF39" s="8"/>
      <c r="AG39" s="8"/>
      <c r="AH39" s="8"/>
    </row>
    <row r="40" spans="5:40" s="8" customFormat="1">
      <c r="F40" s="153" t="s">
        <v>657</v>
      </c>
      <c r="G40" s="17"/>
      <c r="H40" s="17"/>
      <c r="I40" s="17"/>
      <c r="J40" s="17"/>
      <c r="K40" s="17"/>
      <c r="L40" s="18"/>
      <c r="N40" s="141" t="s">
        <v>621</v>
      </c>
      <c r="O40" s="138"/>
      <c r="S40" s="138" t="s">
        <v>568</v>
      </c>
      <c r="T40" s="13"/>
      <c r="V40" s="141" t="s">
        <v>92</v>
      </c>
      <c r="W40" s="138" t="s">
        <v>642</v>
      </c>
      <c r="X40" s="12"/>
      <c r="Y40" s="12"/>
      <c r="Z40" s="12"/>
      <c r="AA40" s="13"/>
      <c r="AC40" s="153" t="s">
        <v>605</v>
      </c>
      <c r="AD40" s="168"/>
      <c r="AE40" s="9"/>
      <c r="AF40" s="9"/>
      <c r="AG40" s="9"/>
      <c r="AH40" s="10"/>
    </row>
    <row r="41" spans="5:40" s="8" customFormat="1">
      <c r="F41" s="150" t="s">
        <v>499</v>
      </c>
      <c r="G41" s="47"/>
      <c r="H41" s="47"/>
      <c r="I41" s="47"/>
      <c r="J41" s="47"/>
      <c r="K41" s="47"/>
      <c r="L41" s="48"/>
      <c r="N41" s="141"/>
      <c r="O41" s="138" t="s">
        <v>357</v>
      </c>
      <c r="P41" s="138"/>
      <c r="Q41" s="138"/>
      <c r="R41" s="138"/>
      <c r="S41" s="138"/>
      <c r="T41" s="13"/>
      <c r="V41" s="141" t="s">
        <v>93</v>
      </c>
      <c r="W41" s="138" t="s">
        <v>71</v>
      </c>
      <c r="X41" s="23"/>
      <c r="Y41" s="23"/>
      <c r="Z41" s="23"/>
      <c r="AA41" s="24"/>
      <c r="AC41" s="150" t="s">
        <v>607</v>
      </c>
      <c r="AD41" s="165"/>
      <c r="AE41" s="12"/>
      <c r="AF41" s="12"/>
      <c r="AG41" s="12"/>
      <c r="AH41" s="13"/>
      <c r="AN41" s="23"/>
    </row>
    <row r="42" spans="5:40" s="8" customFormat="1" ht="13.5" thickBot="1">
      <c r="F42" s="19"/>
      <c r="G42" s="14"/>
      <c r="H42" s="14"/>
      <c r="I42" s="49"/>
      <c r="J42" s="49"/>
      <c r="K42" s="49"/>
      <c r="L42" s="50"/>
      <c r="N42" s="141" t="s">
        <v>67</v>
      </c>
      <c r="O42" s="138"/>
      <c r="P42" s="138"/>
      <c r="Q42" s="138"/>
      <c r="R42" s="138"/>
      <c r="S42" s="138"/>
      <c r="T42" s="13"/>
      <c r="V42" s="164" t="s">
        <v>68</v>
      </c>
      <c r="W42" s="148" t="s">
        <v>507</v>
      </c>
      <c r="X42" s="14"/>
      <c r="Y42" s="14"/>
      <c r="Z42" s="14"/>
      <c r="AA42" s="15"/>
      <c r="AC42" s="150" t="s">
        <v>606</v>
      </c>
      <c r="AD42" s="165"/>
      <c r="AE42" s="23"/>
      <c r="AF42" s="23"/>
      <c r="AG42" s="23"/>
      <c r="AH42" s="24"/>
      <c r="AN42" s="12"/>
    </row>
    <row r="43" spans="5:40" s="8" customFormat="1" ht="13.5" thickBot="1">
      <c r="N43" s="141" t="s">
        <v>491</v>
      </c>
      <c r="O43" s="138"/>
      <c r="P43" s="138"/>
      <c r="Q43" s="138"/>
      <c r="R43" s="138"/>
      <c r="S43" s="138"/>
      <c r="T43" s="13"/>
      <c r="AC43" s="177" t="s">
        <v>608</v>
      </c>
      <c r="AD43" s="145"/>
      <c r="AE43" s="6"/>
      <c r="AF43" s="6"/>
      <c r="AG43" s="6"/>
      <c r="AH43" s="7"/>
    </row>
    <row r="44" spans="5:40" ht="15.75" thickBot="1">
      <c r="F44" s="213" t="s">
        <v>34</v>
      </c>
      <c r="G44" s="214"/>
      <c r="H44" s="214"/>
      <c r="I44" s="214"/>
      <c r="J44" s="214"/>
      <c r="K44" s="214"/>
      <c r="L44" s="215"/>
      <c r="N44" s="141" t="s">
        <v>492</v>
      </c>
      <c r="O44" s="138"/>
      <c r="P44" s="138"/>
      <c r="Q44" s="138"/>
      <c r="R44" s="138"/>
      <c r="S44" s="138"/>
      <c r="T44" s="24"/>
      <c r="V44" s="213" t="s">
        <v>94</v>
      </c>
      <c r="W44" s="214"/>
      <c r="X44" s="214"/>
      <c r="Y44" s="214"/>
      <c r="Z44" s="214"/>
      <c r="AA44" s="215"/>
    </row>
    <row r="45" spans="5:40" s="8" customFormat="1" ht="13.5" thickBot="1">
      <c r="F45" s="154" t="s">
        <v>668</v>
      </c>
      <c r="G45" s="155"/>
      <c r="H45" s="20"/>
      <c r="I45" s="20"/>
      <c r="J45" s="20"/>
      <c r="K45" s="20"/>
      <c r="L45" s="21"/>
      <c r="N45" s="228"/>
      <c r="O45" s="229"/>
      <c r="P45" s="229"/>
      <c r="Q45" s="229"/>
      <c r="R45" s="229"/>
      <c r="S45" s="229"/>
      <c r="T45" s="183"/>
      <c r="V45" s="136" t="s">
        <v>330</v>
      </c>
      <c r="W45" s="184" t="s">
        <v>628</v>
      </c>
      <c r="X45" s="17"/>
      <c r="Y45" s="17"/>
      <c r="Z45" s="17"/>
      <c r="AA45" s="18"/>
    </row>
    <row r="46" spans="5:40" s="8" customFormat="1" ht="13.5" thickBot="1">
      <c r="F46" s="156" t="s">
        <v>35</v>
      </c>
      <c r="G46" s="151" t="s">
        <v>40</v>
      </c>
      <c r="H46" s="47"/>
      <c r="I46" s="47"/>
      <c r="J46" s="47"/>
      <c r="K46" s="47"/>
      <c r="L46" s="48"/>
      <c r="V46" s="167" t="s">
        <v>331</v>
      </c>
      <c r="W46" s="151" t="s">
        <v>604</v>
      </c>
      <c r="X46" s="23"/>
      <c r="Y46" s="23"/>
      <c r="Z46" s="23"/>
      <c r="AA46" s="24"/>
    </row>
    <row r="47" spans="5:40" s="8" customFormat="1" ht="15.75" thickBot="1">
      <c r="F47" s="157" t="s">
        <v>36</v>
      </c>
      <c r="G47" s="151" t="s">
        <v>41</v>
      </c>
      <c r="H47" s="47"/>
      <c r="I47" s="47"/>
      <c r="J47" s="47"/>
      <c r="K47" s="47"/>
      <c r="L47" s="48"/>
      <c r="N47" s="210" t="s">
        <v>69</v>
      </c>
      <c r="O47" s="211"/>
      <c r="P47" s="211"/>
      <c r="Q47" s="211"/>
      <c r="R47" s="211"/>
      <c r="S47" s="211"/>
      <c r="T47" s="212"/>
      <c r="V47" s="141" t="s">
        <v>332</v>
      </c>
      <c r="W47" s="151" t="s">
        <v>665</v>
      </c>
      <c r="X47" s="12"/>
      <c r="Y47" s="12"/>
      <c r="Z47" s="12"/>
      <c r="AA47" s="13"/>
    </row>
    <row r="48" spans="5:40" s="8" customFormat="1">
      <c r="F48" s="157" t="s">
        <v>37</v>
      </c>
      <c r="G48" s="151" t="s">
        <v>42</v>
      </c>
      <c r="H48" s="47"/>
      <c r="I48" s="47"/>
      <c r="J48" s="47"/>
      <c r="K48" s="47"/>
      <c r="L48" s="48"/>
      <c r="N48" s="136" t="s">
        <v>658</v>
      </c>
      <c r="O48" s="137"/>
      <c r="P48" s="137"/>
      <c r="Q48" s="137"/>
      <c r="R48" s="137"/>
      <c r="S48" s="137"/>
      <c r="T48" s="10"/>
      <c r="V48" s="141" t="s">
        <v>333</v>
      </c>
      <c r="W48" s="151" t="s">
        <v>643</v>
      </c>
      <c r="X48" s="12"/>
      <c r="Y48" s="12"/>
      <c r="Z48" s="12"/>
      <c r="AA48" s="13"/>
      <c r="AK48" s="8" t="s">
        <v>3</v>
      </c>
    </row>
    <row r="49" spans="5:37" s="8" customFormat="1">
      <c r="F49" s="157" t="s">
        <v>38</v>
      </c>
      <c r="G49" s="151" t="s">
        <v>43</v>
      </c>
      <c r="H49" s="47"/>
      <c r="I49" s="47"/>
      <c r="J49" s="47"/>
      <c r="K49" s="47"/>
      <c r="L49" s="48"/>
      <c r="N49" s="141" t="s">
        <v>70</v>
      </c>
      <c r="O49" s="138" t="s">
        <v>638</v>
      </c>
      <c r="P49" s="138" t="s">
        <v>510</v>
      </c>
      <c r="Q49" s="138"/>
      <c r="R49" s="138"/>
      <c r="S49" s="138"/>
      <c r="T49" s="13"/>
      <c r="V49" s="141" t="s">
        <v>334</v>
      </c>
      <c r="W49" s="151" t="s">
        <v>629</v>
      </c>
      <c r="X49" s="12"/>
      <c r="Y49" s="12"/>
      <c r="Z49" s="12"/>
      <c r="AA49" s="13"/>
      <c r="AK49" s="8" t="s">
        <v>3</v>
      </c>
    </row>
    <row r="50" spans="5:37" s="8" customFormat="1">
      <c r="F50" s="157" t="s">
        <v>39</v>
      </c>
      <c r="G50" s="151" t="s">
        <v>44</v>
      </c>
      <c r="H50" s="47"/>
      <c r="I50" s="47"/>
      <c r="J50" s="47"/>
      <c r="K50" s="47"/>
      <c r="L50" s="48"/>
      <c r="N50" s="141" t="s">
        <v>509</v>
      </c>
      <c r="O50" s="138"/>
      <c r="P50" s="138"/>
      <c r="Q50" s="165"/>
      <c r="R50" s="217" t="s">
        <v>659</v>
      </c>
      <c r="S50" s="217"/>
      <c r="T50" s="179"/>
      <c r="V50" s="141" t="s">
        <v>335</v>
      </c>
      <c r="W50" s="151" t="s">
        <v>630</v>
      </c>
      <c r="X50" s="12"/>
      <c r="Y50" s="12"/>
      <c r="Z50" s="12"/>
      <c r="AA50" s="13"/>
      <c r="AK50" s="8" t="s">
        <v>3</v>
      </c>
    </row>
    <row r="51" spans="5:37" s="8" customFormat="1" ht="14.25" customHeight="1" thickBot="1">
      <c r="F51" s="158" t="s">
        <v>669</v>
      </c>
      <c r="G51" s="159"/>
      <c r="H51" s="22"/>
      <c r="I51" s="12"/>
      <c r="J51" s="12"/>
      <c r="K51" s="12"/>
      <c r="L51" s="13"/>
      <c r="N51" s="164" t="s">
        <v>68</v>
      </c>
      <c r="O51" s="148" t="s">
        <v>71</v>
      </c>
      <c r="P51" s="148"/>
      <c r="Q51" s="148"/>
      <c r="R51" s="148"/>
      <c r="S51" s="148"/>
      <c r="T51" s="15"/>
      <c r="V51" s="141" t="s">
        <v>336</v>
      </c>
      <c r="W51" s="151" t="s">
        <v>71</v>
      </c>
      <c r="X51" s="12"/>
      <c r="Y51" s="12"/>
      <c r="Z51" s="12"/>
      <c r="AA51" s="13"/>
    </row>
    <row r="52" spans="5:37" s="8" customFormat="1" ht="14.25" customHeight="1" thickBot="1">
      <c r="F52" s="157" t="s">
        <v>35</v>
      </c>
      <c r="G52" s="138" t="s">
        <v>45</v>
      </c>
      <c r="H52" s="12"/>
      <c r="I52" s="12"/>
      <c r="J52" s="12"/>
      <c r="K52" s="12"/>
      <c r="L52" s="13"/>
      <c r="N52" s="12"/>
      <c r="O52" s="12"/>
      <c r="P52" s="12"/>
      <c r="Q52" s="12"/>
      <c r="R52" s="12"/>
      <c r="S52" s="12"/>
      <c r="T52" s="12"/>
      <c r="V52" s="164" t="s">
        <v>337</v>
      </c>
      <c r="W52" s="148"/>
      <c r="X52" s="14"/>
      <c r="Y52" s="14"/>
      <c r="Z52" s="14"/>
      <c r="AA52" s="15"/>
    </row>
    <row r="53" spans="5:37" s="8" customFormat="1" ht="13.5" thickBot="1">
      <c r="F53" s="157"/>
      <c r="G53" s="138" t="s">
        <v>46</v>
      </c>
      <c r="H53" s="12"/>
      <c r="I53" s="12"/>
      <c r="J53" s="12"/>
      <c r="K53" s="12"/>
      <c r="L53" s="13"/>
    </row>
    <row r="54" spans="5:37" s="8" customFormat="1" ht="15.75" thickBot="1">
      <c r="F54" s="157"/>
      <c r="G54" s="138" t="s">
        <v>142</v>
      </c>
      <c r="H54" s="12"/>
      <c r="I54" s="12"/>
      <c r="J54" s="12"/>
      <c r="K54" s="12"/>
      <c r="L54" s="13"/>
      <c r="N54" s="213" t="s">
        <v>72</v>
      </c>
      <c r="O54" s="214"/>
      <c r="P54" s="214"/>
      <c r="Q54" s="214"/>
      <c r="R54" s="214"/>
      <c r="S54" s="214"/>
      <c r="T54" s="215"/>
      <c r="V54" s="213" t="s">
        <v>95</v>
      </c>
      <c r="W54" s="214"/>
      <c r="X54" s="214"/>
      <c r="Y54" s="214"/>
      <c r="Z54" s="214"/>
      <c r="AA54" s="215"/>
    </row>
    <row r="55" spans="5:37" s="8" customFormat="1" ht="13.5" customHeight="1">
      <c r="F55" s="157" t="s">
        <v>36</v>
      </c>
      <c r="G55" s="138" t="s">
        <v>47</v>
      </c>
      <c r="H55" s="12"/>
      <c r="I55" s="12"/>
      <c r="J55" s="12"/>
      <c r="K55" s="12"/>
      <c r="L55" s="13"/>
      <c r="N55" s="136" t="s">
        <v>73</v>
      </c>
      <c r="O55" s="137"/>
      <c r="P55" s="137" t="s">
        <v>646</v>
      </c>
      <c r="Q55" s="137"/>
      <c r="R55" s="137"/>
      <c r="S55" s="9"/>
      <c r="T55" s="10"/>
      <c r="V55" s="136" t="s">
        <v>95</v>
      </c>
      <c r="W55" s="137" t="s">
        <v>644</v>
      </c>
      <c r="X55" s="9"/>
      <c r="Y55" s="9"/>
      <c r="Z55" s="9"/>
      <c r="AA55" s="10"/>
    </row>
    <row r="56" spans="5:37" s="8" customFormat="1">
      <c r="F56" s="157"/>
      <c r="G56" s="138" t="s">
        <v>143</v>
      </c>
      <c r="H56" s="12"/>
      <c r="I56" s="12"/>
      <c r="J56" s="12"/>
      <c r="K56" s="12"/>
      <c r="L56" s="13"/>
      <c r="N56" s="141"/>
      <c r="O56" s="138"/>
      <c r="P56" s="138"/>
      <c r="Q56" s="138"/>
      <c r="R56" s="138"/>
      <c r="S56" s="12"/>
      <c r="T56" s="13"/>
      <c r="V56" s="141"/>
      <c r="W56" s="138" t="s">
        <v>338</v>
      </c>
      <c r="Y56" s="12" t="s">
        <v>654</v>
      </c>
      <c r="Z56" s="12"/>
      <c r="AA56" s="13"/>
    </row>
    <row r="57" spans="5:37" s="8" customFormat="1" ht="12.75" customHeight="1">
      <c r="F57" s="157"/>
      <c r="G57" s="138" t="s">
        <v>144</v>
      </c>
      <c r="H57" s="12"/>
      <c r="I57" s="12"/>
      <c r="J57" s="12"/>
      <c r="K57" s="12"/>
      <c r="L57" s="13"/>
      <c r="N57" s="141" t="s">
        <v>74</v>
      </c>
      <c r="O57" s="138"/>
      <c r="P57" s="138"/>
      <c r="Q57" s="138" t="s">
        <v>3</v>
      </c>
      <c r="R57" s="138"/>
      <c r="S57" s="12"/>
      <c r="T57" s="13"/>
      <c r="V57" s="141" t="s">
        <v>174</v>
      </c>
      <c r="W57" s="138" t="s">
        <v>645</v>
      </c>
      <c r="X57" s="12"/>
      <c r="Y57" s="12"/>
      <c r="Z57" s="12"/>
      <c r="AA57" s="13"/>
    </row>
    <row r="58" spans="5:37" s="8" customFormat="1" ht="13.5" customHeight="1" thickBot="1">
      <c r="F58" s="160"/>
      <c r="G58" s="148" t="s">
        <v>649</v>
      </c>
      <c r="H58" s="14"/>
      <c r="I58" s="14"/>
      <c r="J58" s="14"/>
      <c r="K58" s="14"/>
      <c r="L58" s="15"/>
      <c r="N58" s="141"/>
      <c r="O58" s="138"/>
      <c r="P58" s="138" t="s">
        <v>639</v>
      </c>
      <c r="Q58" s="138"/>
      <c r="R58" s="138"/>
      <c r="S58" s="12"/>
      <c r="T58" s="13"/>
      <c r="V58" s="141" t="s">
        <v>96</v>
      </c>
      <c r="W58" s="138" t="s">
        <v>515</v>
      </c>
      <c r="X58" s="12"/>
      <c r="Y58" s="12"/>
      <c r="Z58" s="12"/>
      <c r="AA58" s="13"/>
    </row>
    <row r="59" spans="5:37" s="8" customFormat="1" ht="13.5" thickBot="1">
      <c r="N59" s="141"/>
      <c r="O59" s="138"/>
      <c r="P59" s="138" t="s">
        <v>660</v>
      </c>
      <c r="Q59" s="138"/>
      <c r="R59" s="138"/>
      <c r="S59" s="12"/>
      <c r="T59" s="13"/>
      <c r="V59" s="141" t="s">
        <v>97</v>
      </c>
      <c r="W59" s="138" t="s">
        <v>631</v>
      </c>
      <c r="X59" s="12"/>
      <c r="Y59" s="12"/>
      <c r="Z59" s="12"/>
      <c r="AA59" s="13"/>
    </row>
    <row r="60" spans="5:37" ht="13.5" customHeight="1" thickBot="1">
      <c r="E60" s="51" t="s">
        <v>3</v>
      </c>
      <c r="F60" s="213" t="s">
        <v>171</v>
      </c>
      <c r="G60" s="214"/>
      <c r="H60" s="214"/>
      <c r="I60" s="214"/>
      <c r="J60" s="214"/>
      <c r="K60" s="214"/>
      <c r="L60" s="215"/>
      <c r="N60" s="141"/>
      <c r="O60" s="138"/>
      <c r="P60" s="138" t="s">
        <v>622</v>
      </c>
      <c r="Q60" s="138"/>
      <c r="R60" s="138"/>
      <c r="S60" s="12"/>
      <c r="T60" s="13"/>
      <c r="V60" s="141" t="s">
        <v>98</v>
      </c>
      <c r="W60" s="138" t="s">
        <v>99</v>
      </c>
      <c r="X60" s="12"/>
      <c r="Y60" s="12"/>
      <c r="Z60" s="12"/>
      <c r="AA60" s="13" t="s">
        <v>632</v>
      </c>
    </row>
    <row r="61" spans="5:37">
      <c r="F61" s="161" t="s">
        <v>650</v>
      </c>
      <c r="G61" s="44"/>
      <c r="H61" s="44"/>
      <c r="I61" s="44"/>
      <c r="J61" s="44"/>
      <c r="K61" s="44"/>
      <c r="L61" s="45"/>
      <c r="N61" s="141"/>
      <c r="O61" s="138"/>
      <c r="P61" s="138" t="s">
        <v>511</v>
      </c>
      <c r="Q61" s="138"/>
      <c r="R61" s="138"/>
      <c r="S61" s="23"/>
      <c r="T61" s="24"/>
      <c r="V61" s="141" t="s">
        <v>100</v>
      </c>
      <c r="W61" s="138" t="s">
        <v>516</v>
      </c>
      <c r="X61" s="12"/>
      <c r="Y61" s="12"/>
      <c r="Z61" s="12"/>
      <c r="AA61" s="13"/>
    </row>
    <row r="62" spans="5:37" ht="13.5" thickBot="1">
      <c r="F62" s="162" t="s">
        <v>271</v>
      </c>
      <c r="G62" s="46"/>
      <c r="H62" s="46"/>
      <c r="I62" s="6"/>
      <c r="J62" s="6"/>
      <c r="K62" s="6"/>
      <c r="L62" s="7"/>
      <c r="N62" s="141"/>
      <c r="O62" s="138"/>
      <c r="P62" s="166" t="s">
        <v>512</v>
      </c>
      <c r="Q62" s="138"/>
      <c r="R62" s="138"/>
      <c r="S62" s="12"/>
      <c r="T62" s="13"/>
      <c r="V62" s="141" t="s">
        <v>68</v>
      </c>
      <c r="W62" s="138" t="s">
        <v>183</v>
      </c>
      <c r="X62" s="23"/>
      <c r="Y62" s="23"/>
      <c r="Z62" s="23"/>
      <c r="AA62" s="24"/>
      <c r="AH62" s="8"/>
    </row>
    <row r="63" spans="5:37" s="8" customFormat="1" ht="13.5" thickBot="1">
      <c r="F63"/>
      <c r="G63"/>
      <c r="H63"/>
      <c r="I63"/>
      <c r="J63"/>
      <c r="K63"/>
      <c r="L63"/>
      <c r="N63" s="141"/>
      <c r="O63" s="138"/>
      <c r="P63" s="166" t="s">
        <v>513</v>
      </c>
      <c r="Q63" s="138"/>
      <c r="R63" s="138"/>
      <c r="S63" s="23"/>
      <c r="T63" s="24"/>
      <c r="V63" s="141"/>
      <c r="W63" s="166" t="s">
        <v>3</v>
      </c>
      <c r="X63" s="23"/>
      <c r="Y63" s="23"/>
      <c r="Z63" s="23"/>
      <c r="AA63" s="24"/>
      <c r="AC63" s="33" t="s">
        <v>3</v>
      </c>
      <c r="AD63" s="33"/>
    </row>
    <row r="64" spans="5:37" ht="15.75" thickBot="1">
      <c r="F64" s="213" t="s">
        <v>635</v>
      </c>
      <c r="G64" s="214"/>
      <c r="H64" s="214"/>
      <c r="I64" s="214"/>
      <c r="J64" s="214"/>
      <c r="K64" s="214"/>
      <c r="L64" s="215"/>
      <c r="N64" s="141"/>
      <c r="O64" s="138"/>
      <c r="P64" s="138" t="s">
        <v>661</v>
      </c>
      <c r="Q64" s="138"/>
      <c r="R64" s="138"/>
      <c r="S64" s="12"/>
      <c r="T64" s="13"/>
      <c r="V64" s="167" t="s">
        <v>164</v>
      </c>
      <c r="W64" s="166" t="s">
        <v>165</v>
      </c>
      <c r="X64" s="23"/>
      <c r="Y64" s="23"/>
      <c r="Z64" s="23"/>
      <c r="AA64" s="24"/>
      <c r="AC64" s="27" t="s">
        <v>3</v>
      </c>
    </row>
    <row r="65" spans="6:30" s="8" customFormat="1" ht="13.5" thickBot="1">
      <c r="F65" s="136" t="s">
        <v>48</v>
      </c>
      <c r="G65" s="137"/>
      <c r="H65" s="137"/>
      <c r="I65" s="137" t="s">
        <v>342</v>
      </c>
      <c r="J65" s="9"/>
      <c r="K65" s="9"/>
      <c r="L65" s="10"/>
      <c r="N65" s="141"/>
      <c r="O65" s="138"/>
      <c r="P65" s="138"/>
      <c r="Q65" s="138"/>
      <c r="R65" s="138"/>
      <c r="S65" s="12"/>
      <c r="T65" s="13"/>
      <c r="V65" s="164" t="s">
        <v>172</v>
      </c>
      <c r="W65" s="148" t="s">
        <v>655</v>
      </c>
      <c r="X65" s="14"/>
      <c r="Y65" s="14"/>
      <c r="Z65" s="14"/>
      <c r="AA65" s="15"/>
      <c r="AC65" s="33" t="s">
        <v>3</v>
      </c>
      <c r="AD65" s="33"/>
    </row>
    <row r="66" spans="6:30" s="8" customFormat="1" ht="13.5" thickBot="1">
      <c r="F66" s="141" t="s">
        <v>49</v>
      </c>
      <c r="G66" s="138"/>
      <c r="H66" s="138"/>
      <c r="I66" s="138" t="s">
        <v>342</v>
      </c>
      <c r="J66" s="12"/>
      <c r="K66" s="12"/>
      <c r="L66" s="13"/>
      <c r="N66" s="141"/>
      <c r="O66" s="138"/>
      <c r="P66" s="138"/>
      <c r="Q66" s="138"/>
      <c r="R66" s="138"/>
      <c r="S66" s="12"/>
      <c r="T66" s="13"/>
      <c r="AC66" s="33"/>
      <c r="AD66" s="33"/>
    </row>
    <row r="67" spans="6:30" s="8" customFormat="1" ht="15.75" thickBot="1">
      <c r="F67" s="141" t="s">
        <v>50</v>
      </c>
      <c r="G67" s="138"/>
      <c r="H67" s="138"/>
      <c r="I67" s="138" t="s">
        <v>343</v>
      </c>
      <c r="J67" s="12"/>
      <c r="K67" s="12"/>
      <c r="L67" s="13"/>
      <c r="N67" s="141" t="s">
        <v>241</v>
      </c>
      <c r="P67" s="138" t="s">
        <v>662</v>
      </c>
      <c r="Q67" s="138"/>
      <c r="R67" s="138"/>
      <c r="S67" s="23"/>
      <c r="T67" s="24"/>
      <c r="V67" s="213" t="s">
        <v>101</v>
      </c>
      <c r="W67" s="214"/>
      <c r="X67" s="214"/>
      <c r="Y67" s="214"/>
      <c r="Z67" s="214"/>
      <c r="AA67" s="215"/>
      <c r="AC67" s="33"/>
      <c r="AD67" s="33"/>
    </row>
    <row r="68" spans="6:30" s="8" customFormat="1">
      <c r="F68" s="141" t="s">
        <v>51</v>
      </c>
      <c r="G68" s="138"/>
      <c r="H68" s="138"/>
      <c r="I68" s="151" t="s">
        <v>344</v>
      </c>
      <c r="J68" s="47"/>
      <c r="K68" s="47"/>
      <c r="L68" s="48"/>
      <c r="N68" s="141"/>
      <c r="O68" s="138"/>
      <c r="P68" s="138" t="s">
        <v>514</v>
      </c>
      <c r="Q68" s="138"/>
      <c r="R68" s="138"/>
      <c r="S68" s="23"/>
      <c r="T68" s="24"/>
      <c r="V68" s="136" t="s">
        <v>633</v>
      </c>
      <c r="W68" s="9"/>
      <c r="X68" s="9"/>
      <c r="Y68" s="9"/>
      <c r="Z68" s="9"/>
      <c r="AA68" s="10"/>
      <c r="AC68" s="33"/>
      <c r="AD68" s="33"/>
    </row>
    <row r="69" spans="6:30" s="8" customFormat="1">
      <c r="F69" s="141" t="s">
        <v>52</v>
      </c>
      <c r="G69" s="138"/>
      <c r="H69" s="163">
        <f ca="1">Inputs!T12/Inputs!T10</f>
        <v>6</v>
      </c>
      <c r="I69" s="151" t="s">
        <v>602</v>
      </c>
      <c r="J69" s="47"/>
      <c r="K69" s="47"/>
      <c r="L69" s="48"/>
      <c r="N69" s="141" t="s">
        <v>242</v>
      </c>
      <c r="O69" s="138"/>
      <c r="P69" s="138" t="s">
        <v>610</v>
      </c>
      <c r="Q69" s="138"/>
      <c r="R69" s="138"/>
      <c r="S69" s="12"/>
      <c r="T69" s="13"/>
      <c r="V69" s="26"/>
      <c r="W69" s="23"/>
      <c r="X69" s="23"/>
      <c r="Y69" s="23"/>
      <c r="Z69" s="23"/>
      <c r="AA69" s="24"/>
      <c r="AC69" s="33"/>
      <c r="AD69" s="33"/>
    </row>
    <row r="70" spans="6:30" s="8" customFormat="1">
      <c r="F70" s="141" t="s">
        <v>53</v>
      </c>
      <c r="G70" s="138"/>
      <c r="H70" s="138"/>
      <c r="I70" s="138" t="s">
        <v>594</v>
      </c>
      <c r="J70" s="12"/>
      <c r="K70" s="12"/>
      <c r="L70" s="13"/>
      <c r="N70" s="141"/>
      <c r="O70" s="138"/>
      <c r="P70" s="138" t="s">
        <v>611</v>
      </c>
      <c r="Q70" s="138"/>
      <c r="R70" s="138"/>
      <c r="S70" s="12"/>
      <c r="T70" s="13"/>
      <c r="V70" s="11"/>
      <c r="W70" s="12"/>
      <c r="X70" s="12"/>
      <c r="Y70" s="12"/>
      <c r="Z70" s="12"/>
      <c r="AA70" s="13"/>
      <c r="AC70" s="33"/>
      <c r="AD70" s="33"/>
    </row>
    <row r="71" spans="6:30" s="8" customFormat="1" ht="13.5" thickBot="1">
      <c r="F71" s="164" t="s">
        <v>54</v>
      </c>
      <c r="G71" s="148"/>
      <c r="H71" s="148"/>
      <c r="I71" s="148" t="s">
        <v>345</v>
      </c>
      <c r="J71" s="14"/>
      <c r="K71" s="14"/>
      <c r="L71" s="15"/>
      <c r="N71" s="164"/>
      <c r="O71" s="148"/>
      <c r="P71" s="148" t="s">
        <v>3</v>
      </c>
      <c r="Q71" s="148"/>
      <c r="R71" s="148"/>
      <c r="S71" s="14"/>
      <c r="T71" s="15"/>
      <c r="V71" s="19"/>
      <c r="W71" s="14"/>
      <c r="X71" s="14"/>
      <c r="Y71" s="14"/>
      <c r="Z71" s="14"/>
      <c r="AA71" s="15"/>
      <c r="AC71" s="33"/>
      <c r="AD71" s="33"/>
    </row>
    <row r="72" spans="6:30" s="8" customFormat="1" ht="6" customHeight="1">
      <c r="AC72" s="33"/>
      <c r="AD72" s="33"/>
    </row>
    <row r="74" spans="6:30" s="8" customFormat="1" ht="11.25">
      <c r="AC74" s="33"/>
      <c r="AD74" s="33"/>
    </row>
    <row r="75" spans="6:30" s="8" customFormat="1" ht="11.25">
      <c r="AC75" s="33"/>
      <c r="AD75" s="33"/>
    </row>
    <row r="76" spans="6:30" s="8" customFormat="1" ht="11.25">
      <c r="AC76" s="33"/>
      <c r="AD76" s="33"/>
    </row>
    <row r="77" spans="6:30" s="8" customFormat="1" ht="11.25">
      <c r="AC77" s="33"/>
      <c r="AD77" s="33"/>
    </row>
    <row r="78" spans="6:30" s="8" customFormat="1" ht="11.25">
      <c r="AC78" s="33"/>
      <c r="AD78" s="33"/>
    </row>
    <row r="79" spans="6:30" s="8" customFormat="1" ht="11.25">
      <c r="AC79" s="33"/>
      <c r="AD79" s="33"/>
    </row>
    <row r="80" spans="6:30" s="8" customFormat="1" ht="11.25">
      <c r="AC80" s="33"/>
      <c r="AD80" s="33"/>
    </row>
    <row r="81" spans="15:30" s="8" customFormat="1" ht="11.25">
      <c r="AC81" s="33"/>
      <c r="AD81" s="33"/>
    </row>
    <row r="82" spans="15:30" s="8" customFormat="1" ht="11.25">
      <c r="AC82" s="33"/>
      <c r="AD82" s="33"/>
    </row>
    <row r="83" spans="15:30" s="8" customFormat="1" ht="11.25">
      <c r="AC83" s="33"/>
      <c r="AD83" s="33"/>
    </row>
    <row r="84" spans="15:30" s="8" customFormat="1" ht="11.25">
      <c r="P84" s="8" t="s">
        <v>3</v>
      </c>
      <c r="AC84" s="33"/>
      <c r="AD84" s="33"/>
    </row>
    <row r="85" spans="15:30" s="8" customFormat="1" ht="11.25">
      <c r="AC85" s="33"/>
      <c r="AD85" s="33"/>
    </row>
    <row r="86" spans="15:30" s="8" customFormat="1" ht="11.25">
      <c r="O86" s="61"/>
      <c r="AC86" s="33"/>
      <c r="AD86" s="33"/>
    </row>
    <row r="87" spans="15:30" s="8" customFormat="1" ht="11.25">
      <c r="O87" s="61"/>
      <c r="AC87" s="33"/>
      <c r="AD87" s="33"/>
    </row>
    <row r="88" spans="15:30" s="8" customFormat="1" ht="11.25">
      <c r="O88" s="61"/>
      <c r="AC88" s="33"/>
      <c r="AD88" s="33"/>
    </row>
    <row r="89" spans="15:30" s="8" customFormat="1" ht="11.25">
      <c r="AC89" s="33"/>
      <c r="AD89" s="33"/>
    </row>
    <row r="90" spans="15:30" s="8" customFormat="1" ht="11.25">
      <c r="AC90" s="33"/>
      <c r="AD90" s="33"/>
    </row>
    <row r="91" spans="15:30" s="8" customFormat="1" ht="11.25">
      <c r="AC91" s="33"/>
      <c r="AD91" s="33"/>
    </row>
    <row r="92" spans="15:30" s="8" customFormat="1" ht="11.25">
      <c r="AC92" s="33"/>
      <c r="AD92" s="33"/>
    </row>
    <row r="93" spans="15:30" s="8" customFormat="1" ht="11.25">
      <c r="AC93" s="33"/>
      <c r="AD93" s="33"/>
    </row>
    <row r="94" spans="15:30" s="8" customFormat="1" ht="11.25">
      <c r="AC94" s="33"/>
      <c r="AD94" s="33"/>
    </row>
    <row r="95" spans="15:30" s="8" customFormat="1" ht="11.25">
      <c r="AC95" s="33"/>
      <c r="AD95" s="33"/>
    </row>
    <row r="96" spans="15:30" s="8" customFormat="1" ht="11.25">
      <c r="AC96" s="33"/>
      <c r="AD96" s="33"/>
    </row>
    <row r="97" spans="29:30" s="8" customFormat="1" ht="11.25">
      <c r="AC97" s="33"/>
      <c r="AD97" s="33"/>
    </row>
    <row r="98" spans="29:30" s="8" customFormat="1" ht="11.25">
      <c r="AC98" s="33"/>
      <c r="AD98" s="33"/>
    </row>
    <row r="99" spans="29:30" s="8" customFormat="1" ht="11.25">
      <c r="AC99" s="33"/>
      <c r="AD99" s="33"/>
    </row>
    <row r="100" spans="29:30" s="8" customFormat="1" ht="11.25">
      <c r="AC100" s="33"/>
      <c r="AD100" s="33"/>
    </row>
    <row r="101" spans="29:30" s="8" customFormat="1" ht="11.25">
      <c r="AC101" s="33"/>
      <c r="AD101" s="33"/>
    </row>
    <row r="102" spans="29:30" s="8" customFormat="1" ht="11.25">
      <c r="AC102" s="33"/>
      <c r="AD102" s="33"/>
    </row>
    <row r="103" spans="29:30" s="8" customFormat="1" ht="11.25">
      <c r="AC103" s="33"/>
      <c r="AD103" s="33"/>
    </row>
    <row r="104" spans="29:30" s="8" customFormat="1" ht="11.25">
      <c r="AC104" s="33"/>
      <c r="AD104" s="33"/>
    </row>
    <row r="105" spans="29:30" s="8" customFormat="1" ht="11.25">
      <c r="AC105" s="33"/>
      <c r="AD105" s="33"/>
    </row>
    <row r="106" spans="29:30" s="8" customFormat="1" ht="11.25">
      <c r="AC106" s="33"/>
      <c r="AD106" s="33"/>
    </row>
    <row r="107" spans="29:30" s="8" customFormat="1" ht="11.25">
      <c r="AC107" s="33"/>
      <c r="AD107" s="33"/>
    </row>
    <row r="108" spans="29:30" s="8" customFormat="1" ht="11.25">
      <c r="AC108" s="33"/>
      <c r="AD108" s="33"/>
    </row>
    <row r="109" spans="29:30" s="8" customFormat="1" ht="11.25">
      <c r="AC109" s="33"/>
      <c r="AD109" s="33"/>
    </row>
    <row r="110" spans="29:30" s="8" customFormat="1" ht="11.25">
      <c r="AC110" s="33"/>
      <c r="AD110" s="33"/>
    </row>
    <row r="111" spans="29:30" s="8" customFormat="1" ht="11.25">
      <c r="AC111" s="33"/>
      <c r="AD111" s="33"/>
    </row>
    <row r="112" spans="29:30" s="8" customFormat="1" ht="11.25">
      <c r="AC112" s="33"/>
      <c r="AD112" s="33"/>
    </row>
    <row r="113" spans="29:30" s="8" customFormat="1" ht="11.25">
      <c r="AC113" s="33"/>
      <c r="AD113" s="33"/>
    </row>
    <row r="114" spans="29:30" s="8" customFormat="1" ht="11.25">
      <c r="AC114" s="33"/>
      <c r="AD114" s="33"/>
    </row>
    <row r="115" spans="29:30" s="8" customFormat="1" ht="11.25">
      <c r="AC115" s="33"/>
      <c r="AD115" s="33"/>
    </row>
    <row r="116" spans="29:30" s="8" customFormat="1" ht="11.25">
      <c r="AC116" s="33"/>
      <c r="AD116" s="33"/>
    </row>
    <row r="117" spans="29:30" s="8" customFormat="1" ht="11.25">
      <c r="AC117" s="33"/>
      <c r="AD117" s="33"/>
    </row>
    <row r="118" spans="29:30" s="8" customFormat="1" ht="11.25">
      <c r="AC118" s="33"/>
      <c r="AD118" s="33"/>
    </row>
    <row r="119" spans="29:30" s="8" customFormat="1" ht="11.25">
      <c r="AC119" s="33"/>
      <c r="AD119" s="33"/>
    </row>
    <row r="120" spans="29:30" s="8" customFormat="1" ht="11.25">
      <c r="AC120" s="33"/>
      <c r="AD120" s="33"/>
    </row>
    <row r="121" spans="29:30" s="8" customFormat="1" ht="11.25">
      <c r="AC121" s="33"/>
      <c r="AD121" s="33"/>
    </row>
    <row r="122" spans="29:30" s="8" customFormat="1" ht="11.25">
      <c r="AC122" s="33"/>
      <c r="AD122" s="33"/>
    </row>
    <row r="123" spans="29:30" s="8" customFormat="1" ht="11.25">
      <c r="AC123" s="33"/>
      <c r="AD123" s="33"/>
    </row>
    <row r="124" spans="29:30" s="8" customFormat="1" ht="11.25">
      <c r="AC124" s="33"/>
      <c r="AD124" s="33"/>
    </row>
    <row r="125" spans="29:30" s="8" customFormat="1" ht="11.25">
      <c r="AC125" s="33"/>
      <c r="AD125" s="33"/>
    </row>
    <row r="126" spans="29:30" s="8" customFormat="1" ht="11.25">
      <c r="AC126" s="33"/>
      <c r="AD126" s="33"/>
    </row>
    <row r="127" spans="29:30" s="8" customFormat="1" ht="11.25">
      <c r="AC127" s="33"/>
      <c r="AD127" s="33"/>
    </row>
    <row r="128" spans="29:30" s="8" customFormat="1" ht="11.25">
      <c r="AC128" s="33"/>
      <c r="AD128" s="33"/>
    </row>
    <row r="129" spans="29:30" s="8" customFormat="1" ht="11.25">
      <c r="AC129" s="33"/>
      <c r="AD129" s="33"/>
    </row>
    <row r="130" spans="29:30" s="8" customFormat="1" ht="11.25">
      <c r="AC130" s="33"/>
      <c r="AD130" s="33"/>
    </row>
    <row r="131" spans="29:30" s="8" customFormat="1" ht="11.25">
      <c r="AC131" s="33"/>
      <c r="AD131" s="33"/>
    </row>
    <row r="132" spans="29:30" s="8" customFormat="1" ht="11.25">
      <c r="AC132" s="33"/>
      <c r="AD132" s="33"/>
    </row>
    <row r="133" spans="29:30" s="8" customFormat="1" ht="11.25">
      <c r="AC133" s="33"/>
      <c r="AD133" s="33"/>
    </row>
    <row r="134" spans="29:30" s="8" customFormat="1" ht="11.25">
      <c r="AC134" s="33"/>
      <c r="AD134" s="33"/>
    </row>
    <row r="135" spans="29:30" s="8" customFormat="1" ht="11.25">
      <c r="AC135" s="33"/>
      <c r="AD135" s="33"/>
    </row>
    <row r="136" spans="29:30" s="8" customFormat="1" ht="11.25">
      <c r="AC136" s="33"/>
      <c r="AD136" s="33"/>
    </row>
    <row r="137" spans="29:30" s="8" customFormat="1" ht="11.25">
      <c r="AC137" s="33"/>
      <c r="AD137" s="33"/>
    </row>
    <row r="138" spans="29:30" s="8" customFormat="1" ht="11.25">
      <c r="AC138" s="33"/>
      <c r="AD138" s="33"/>
    </row>
    <row r="139" spans="29:30" s="8" customFormat="1" ht="11.25">
      <c r="AC139" s="33"/>
      <c r="AD139" s="33"/>
    </row>
    <row r="140" spans="29:30" s="8" customFormat="1" ht="11.25">
      <c r="AC140" s="33"/>
      <c r="AD140" s="33"/>
    </row>
    <row r="141" spans="29:30" s="8" customFormat="1" ht="11.25">
      <c r="AC141" s="33"/>
      <c r="AD141" s="33"/>
    </row>
    <row r="142" spans="29:30" s="8" customFormat="1" ht="11.25">
      <c r="AC142" s="33"/>
      <c r="AD142" s="33"/>
    </row>
    <row r="143" spans="29:30" s="8" customFormat="1" ht="11.25">
      <c r="AC143" s="33"/>
      <c r="AD143" s="33"/>
    </row>
    <row r="144" spans="29:30" s="8" customFormat="1" ht="11.25">
      <c r="AC144" s="33"/>
      <c r="AD144" s="33"/>
    </row>
    <row r="145" spans="29:30" s="8" customFormat="1" ht="11.25">
      <c r="AC145" s="33"/>
      <c r="AD145" s="33"/>
    </row>
    <row r="146" spans="29:30" s="8" customFormat="1" ht="11.25">
      <c r="AC146" s="33"/>
      <c r="AD146" s="33"/>
    </row>
    <row r="147" spans="29:30" s="8" customFormat="1" ht="11.25">
      <c r="AC147" s="33"/>
      <c r="AD147" s="33"/>
    </row>
    <row r="148" spans="29:30" s="8" customFormat="1" ht="11.25">
      <c r="AC148" s="33"/>
      <c r="AD148" s="33"/>
    </row>
    <row r="149" spans="29:30" s="8" customFormat="1" ht="11.25">
      <c r="AC149" s="33"/>
      <c r="AD149" s="33"/>
    </row>
    <row r="150" spans="29:30" s="8" customFormat="1" ht="11.25">
      <c r="AC150" s="33"/>
      <c r="AD150" s="33"/>
    </row>
    <row r="151" spans="29:30" s="8" customFormat="1" ht="11.25">
      <c r="AC151" s="33"/>
      <c r="AD151" s="33"/>
    </row>
    <row r="152" spans="29:30" s="8" customFormat="1" ht="11.25">
      <c r="AC152" s="33"/>
      <c r="AD152" s="33"/>
    </row>
    <row r="153" spans="29:30" s="8" customFormat="1" ht="11.25">
      <c r="AC153" s="33"/>
      <c r="AD153" s="33"/>
    </row>
    <row r="154" spans="29:30" s="8" customFormat="1" ht="11.25">
      <c r="AC154" s="33"/>
      <c r="AD154" s="33"/>
    </row>
    <row r="155" spans="29:30" s="8" customFormat="1" ht="11.25">
      <c r="AC155" s="33"/>
      <c r="AD155" s="33"/>
    </row>
    <row r="156" spans="29:30" s="8" customFormat="1" ht="11.25">
      <c r="AC156" s="33"/>
      <c r="AD156" s="33"/>
    </row>
    <row r="157" spans="29:30" s="8" customFormat="1" ht="11.25">
      <c r="AC157" s="33"/>
      <c r="AD157" s="33"/>
    </row>
    <row r="158" spans="29:30" s="8" customFormat="1" ht="11.25">
      <c r="AC158" s="33"/>
      <c r="AD158" s="33"/>
    </row>
    <row r="159" spans="29:30" s="8" customFormat="1" ht="11.25">
      <c r="AC159" s="33"/>
      <c r="AD159" s="33"/>
    </row>
    <row r="160" spans="29:30" s="8" customFormat="1" ht="11.25">
      <c r="AC160" s="33"/>
      <c r="AD160" s="33"/>
    </row>
    <row r="161" spans="29:30" s="8" customFormat="1" ht="11.25">
      <c r="AC161" s="33"/>
      <c r="AD161" s="33"/>
    </row>
    <row r="162" spans="29:30" s="8" customFormat="1" ht="11.25">
      <c r="AC162" s="33"/>
      <c r="AD162" s="33"/>
    </row>
    <row r="163" spans="29:30" s="8" customFormat="1" ht="11.25">
      <c r="AC163" s="33"/>
      <c r="AD163" s="33"/>
    </row>
    <row r="164" spans="29:30" s="8" customFormat="1" ht="11.25">
      <c r="AC164" s="33"/>
      <c r="AD164" s="33"/>
    </row>
    <row r="165" spans="29:30" s="8" customFormat="1" ht="11.25">
      <c r="AC165" s="33"/>
      <c r="AD165" s="33"/>
    </row>
    <row r="166" spans="29:30" s="8" customFormat="1" ht="11.25">
      <c r="AC166" s="33"/>
      <c r="AD166" s="33"/>
    </row>
    <row r="167" spans="29:30" s="8" customFormat="1" ht="11.25">
      <c r="AC167" s="33"/>
      <c r="AD167" s="33"/>
    </row>
    <row r="168" spans="29:30" s="8" customFormat="1" ht="11.25">
      <c r="AC168" s="33"/>
      <c r="AD168" s="33"/>
    </row>
    <row r="169" spans="29:30" s="8" customFormat="1" ht="11.25">
      <c r="AC169" s="33"/>
      <c r="AD169" s="33"/>
    </row>
    <row r="170" spans="29:30" s="8" customFormat="1" ht="11.25">
      <c r="AC170" s="33"/>
      <c r="AD170" s="33"/>
    </row>
    <row r="171" spans="29:30" s="8" customFormat="1" ht="11.25">
      <c r="AC171" s="33"/>
      <c r="AD171" s="33"/>
    </row>
    <row r="172" spans="29:30" s="8" customFormat="1" ht="11.25">
      <c r="AC172" s="33"/>
      <c r="AD172" s="33"/>
    </row>
    <row r="173" spans="29:30" s="8" customFormat="1" ht="11.25">
      <c r="AC173" s="33"/>
      <c r="AD173" s="33"/>
    </row>
    <row r="174" spans="29:30" s="8" customFormat="1" ht="11.25">
      <c r="AC174" s="33"/>
      <c r="AD174" s="33"/>
    </row>
    <row r="175" spans="29:30" s="8" customFormat="1" ht="11.25">
      <c r="AC175" s="33"/>
      <c r="AD175" s="33"/>
    </row>
    <row r="176" spans="29:30" s="8" customFormat="1" ht="11.25">
      <c r="AC176" s="33"/>
      <c r="AD176" s="33"/>
    </row>
    <row r="177" spans="29:30" s="8" customFormat="1" ht="11.25">
      <c r="AC177" s="33"/>
      <c r="AD177" s="33"/>
    </row>
    <row r="178" spans="29:30" s="8" customFormat="1" ht="11.25">
      <c r="AC178" s="33"/>
      <c r="AD178" s="33"/>
    </row>
    <row r="179" spans="29:30" s="8" customFormat="1" ht="11.25">
      <c r="AC179" s="33"/>
      <c r="AD179" s="33"/>
    </row>
    <row r="180" spans="29:30" s="8" customFormat="1" ht="11.25">
      <c r="AC180" s="33"/>
      <c r="AD180" s="33"/>
    </row>
    <row r="181" spans="29:30" s="8" customFormat="1" ht="11.25">
      <c r="AC181" s="33"/>
      <c r="AD181" s="33"/>
    </row>
    <row r="182" spans="29:30" s="8" customFormat="1" ht="11.25">
      <c r="AC182" s="33"/>
      <c r="AD182" s="33"/>
    </row>
    <row r="183" spans="29:30" s="8" customFormat="1" ht="11.25">
      <c r="AC183" s="33"/>
      <c r="AD183" s="33"/>
    </row>
    <row r="184" spans="29:30" s="8" customFormat="1" ht="11.25">
      <c r="AC184" s="33"/>
      <c r="AD184" s="33"/>
    </row>
    <row r="185" spans="29:30" s="8" customFormat="1" ht="11.25">
      <c r="AC185" s="33"/>
      <c r="AD185" s="33"/>
    </row>
    <row r="186" spans="29:30" s="8" customFormat="1" ht="11.25">
      <c r="AC186" s="33"/>
      <c r="AD186" s="33"/>
    </row>
    <row r="187" spans="29:30" s="8" customFormat="1" ht="11.25">
      <c r="AC187" s="33"/>
      <c r="AD187" s="33"/>
    </row>
    <row r="188" spans="29:30" s="8" customFormat="1" ht="11.25">
      <c r="AC188" s="33"/>
      <c r="AD188" s="33"/>
    </row>
    <row r="189" spans="29:30" s="8" customFormat="1" ht="11.25">
      <c r="AC189" s="33"/>
      <c r="AD189" s="33"/>
    </row>
    <row r="190" spans="29:30" s="8" customFormat="1" ht="11.25">
      <c r="AC190" s="33"/>
      <c r="AD190" s="33"/>
    </row>
    <row r="191" spans="29:30" s="8" customFormat="1" ht="11.25">
      <c r="AC191" s="33"/>
      <c r="AD191" s="33"/>
    </row>
    <row r="192" spans="29:30" s="8" customFormat="1" ht="11.25">
      <c r="AC192" s="33"/>
      <c r="AD192" s="33"/>
    </row>
    <row r="193" spans="29:30" s="8" customFormat="1" ht="11.25">
      <c r="AC193" s="33"/>
      <c r="AD193" s="33"/>
    </row>
    <row r="194" spans="29:30" s="8" customFormat="1" ht="11.25">
      <c r="AC194" s="33"/>
      <c r="AD194" s="33"/>
    </row>
    <row r="195" spans="29:30" s="8" customFormat="1" ht="11.25">
      <c r="AC195" s="33"/>
      <c r="AD195" s="33"/>
    </row>
    <row r="196" spans="29:30" s="8" customFormat="1" ht="11.25">
      <c r="AC196" s="33"/>
      <c r="AD196" s="33"/>
    </row>
    <row r="197" spans="29:30" s="8" customFormat="1" ht="11.25">
      <c r="AC197" s="33"/>
      <c r="AD197" s="33"/>
    </row>
    <row r="198" spans="29:30" s="8" customFormat="1" ht="11.25">
      <c r="AC198" s="33"/>
      <c r="AD198" s="33"/>
    </row>
    <row r="199" spans="29:30" s="8" customFormat="1" ht="11.25">
      <c r="AC199" s="33"/>
      <c r="AD199" s="33"/>
    </row>
    <row r="200" spans="29:30" s="8" customFormat="1" ht="11.25">
      <c r="AC200" s="33"/>
      <c r="AD200" s="33"/>
    </row>
    <row r="201" spans="29:30" s="8" customFormat="1" ht="11.25">
      <c r="AC201" s="33"/>
      <c r="AD201" s="33"/>
    </row>
    <row r="202" spans="29:30" s="8" customFormat="1" ht="11.25">
      <c r="AC202" s="33"/>
      <c r="AD202" s="33"/>
    </row>
    <row r="203" spans="29:30" s="8" customFormat="1" ht="11.25">
      <c r="AC203" s="33"/>
      <c r="AD203" s="33"/>
    </row>
    <row r="204" spans="29:30" s="8" customFormat="1" ht="11.25">
      <c r="AC204" s="33"/>
      <c r="AD204" s="33"/>
    </row>
    <row r="205" spans="29:30" s="8" customFormat="1" ht="11.25">
      <c r="AC205" s="33"/>
      <c r="AD205" s="33"/>
    </row>
    <row r="206" spans="29:30" s="8" customFormat="1" ht="11.25">
      <c r="AC206" s="33"/>
      <c r="AD206" s="33"/>
    </row>
    <row r="207" spans="29:30" s="8" customFormat="1" ht="11.25">
      <c r="AC207" s="33"/>
      <c r="AD207" s="33"/>
    </row>
    <row r="208" spans="29:30" s="8" customFormat="1" ht="11.25">
      <c r="AC208" s="33"/>
      <c r="AD208" s="33"/>
    </row>
    <row r="209" spans="29:30" s="8" customFormat="1" ht="11.25">
      <c r="AC209" s="33"/>
      <c r="AD209" s="33"/>
    </row>
    <row r="210" spans="29:30" s="8" customFormat="1" ht="11.25">
      <c r="AC210" s="33"/>
      <c r="AD210" s="33"/>
    </row>
    <row r="211" spans="29:30" s="8" customFormat="1" ht="11.25">
      <c r="AC211" s="33"/>
      <c r="AD211" s="33"/>
    </row>
    <row r="212" spans="29:30" s="8" customFormat="1" ht="11.25">
      <c r="AC212" s="33"/>
      <c r="AD212" s="33"/>
    </row>
    <row r="213" spans="29:30" s="8" customFormat="1" ht="11.25">
      <c r="AC213" s="33"/>
      <c r="AD213" s="33"/>
    </row>
    <row r="214" spans="29:30" s="8" customFormat="1" ht="11.25">
      <c r="AC214" s="33"/>
      <c r="AD214" s="33"/>
    </row>
    <row r="215" spans="29:30" s="8" customFormat="1" ht="11.25">
      <c r="AC215" s="33"/>
      <c r="AD215" s="33"/>
    </row>
    <row r="216" spans="29:30" s="8" customFormat="1" ht="11.25">
      <c r="AC216" s="33"/>
      <c r="AD216" s="33"/>
    </row>
    <row r="217" spans="29:30" s="8" customFormat="1" ht="11.25">
      <c r="AC217" s="33"/>
      <c r="AD217" s="33"/>
    </row>
    <row r="218" spans="29:30" s="8" customFormat="1" ht="11.25">
      <c r="AC218" s="33"/>
      <c r="AD218" s="33"/>
    </row>
    <row r="219" spans="29:30" s="8" customFormat="1" ht="11.25">
      <c r="AC219" s="33"/>
      <c r="AD219" s="33"/>
    </row>
    <row r="220" spans="29:30" s="8" customFormat="1" ht="11.25">
      <c r="AC220" s="33"/>
      <c r="AD220" s="33"/>
    </row>
    <row r="221" spans="29:30" s="8" customFormat="1" ht="11.25">
      <c r="AC221" s="33"/>
      <c r="AD221" s="33"/>
    </row>
    <row r="222" spans="29:30" s="8" customFormat="1" ht="11.25">
      <c r="AC222" s="33"/>
      <c r="AD222" s="33"/>
    </row>
    <row r="223" spans="29:30" s="8" customFormat="1" ht="11.25">
      <c r="AC223" s="33"/>
      <c r="AD223" s="33"/>
    </row>
    <row r="224" spans="29:30" s="8" customFormat="1" ht="11.25">
      <c r="AC224" s="33"/>
      <c r="AD224" s="33"/>
    </row>
    <row r="225" spans="29:30" s="8" customFormat="1" ht="11.25">
      <c r="AC225" s="33"/>
      <c r="AD225" s="33"/>
    </row>
    <row r="226" spans="29:30" s="8" customFormat="1" ht="11.25">
      <c r="AC226" s="33"/>
      <c r="AD226" s="33"/>
    </row>
    <row r="227" spans="29:30" s="8" customFormat="1" ht="11.25">
      <c r="AC227" s="33"/>
      <c r="AD227" s="33"/>
    </row>
    <row r="228" spans="29:30" s="8" customFormat="1" ht="11.25">
      <c r="AC228" s="33"/>
      <c r="AD228" s="33"/>
    </row>
    <row r="229" spans="29:30" s="8" customFormat="1" ht="11.25">
      <c r="AC229" s="33"/>
      <c r="AD229" s="33"/>
    </row>
    <row r="230" spans="29:30" s="8" customFormat="1" ht="11.25">
      <c r="AC230" s="33"/>
      <c r="AD230" s="33"/>
    </row>
    <row r="231" spans="29:30" s="8" customFormat="1" ht="11.25">
      <c r="AC231" s="33"/>
      <c r="AD231" s="33"/>
    </row>
    <row r="232" spans="29:30" s="8" customFormat="1" ht="11.25">
      <c r="AC232" s="33"/>
      <c r="AD232" s="33"/>
    </row>
    <row r="233" spans="29:30" s="8" customFormat="1" ht="11.25">
      <c r="AC233" s="33"/>
      <c r="AD233" s="33"/>
    </row>
    <row r="234" spans="29:30" s="8" customFormat="1" ht="11.25">
      <c r="AC234" s="33"/>
      <c r="AD234" s="33"/>
    </row>
    <row r="235" spans="29:30" s="8" customFormat="1" ht="11.25">
      <c r="AC235" s="33"/>
      <c r="AD235" s="33"/>
    </row>
    <row r="236" spans="29:30" s="8" customFormat="1" ht="11.25">
      <c r="AC236" s="33"/>
      <c r="AD236" s="33"/>
    </row>
    <row r="237" spans="29:30" s="8" customFormat="1" ht="11.25">
      <c r="AC237" s="33"/>
      <c r="AD237" s="33"/>
    </row>
    <row r="238" spans="29:30" s="8" customFormat="1" ht="11.25">
      <c r="AC238" s="33"/>
      <c r="AD238" s="33"/>
    </row>
    <row r="239" spans="29:30" s="8" customFormat="1" ht="11.25">
      <c r="AC239" s="33"/>
      <c r="AD239" s="33"/>
    </row>
    <row r="240" spans="29:30" s="8" customFormat="1" ht="11.25">
      <c r="AC240" s="33"/>
      <c r="AD240" s="33"/>
    </row>
    <row r="241" spans="29:30" s="8" customFormat="1" ht="11.25">
      <c r="AC241" s="33"/>
      <c r="AD241" s="33"/>
    </row>
    <row r="242" spans="29:30" s="8" customFormat="1" ht="11.25">
      <c r="AC242" s="33"/>
      <c r="AD242" s="33"/>
    </row>
    <row r="243" spans="29:30" s="8" customFormat="1" ht="11.25">
      <c r="AC243" s="33"/>
      <c r="AD243" s="33"/>
    </row>
    <row r="244" spans="29:30" s="8" customFormat="1" ht="11.25">
      <c r="AC244" s="33"/>
      <c r="AD244" s="33"/>
    </row>
    <row r="245" spans="29:30" s="8" customFormat="1" ht="11.25">
      <c r="AC245" s="33"/>
      <c r="AD245" s="33"/>
    </row>
    <row r="246" spans="29:30" s="8" customFormat="1" ht="11.25">
      <c r="AC246" s="33"/>
      <c r="AD246" s="33"/>
    </row>
    <row r="247" spans="29:30" s="8" customFormat="1" ht="11.25">
      <c r="AC247" s="33"/>
      <c r="AD247" s="33"/>
    </row>
    <row r="248" spans="29:30" s="8" customFormat="1" ht="11.25">
      <c r="AC248" s="33"/>
      <c r="AD248" s="33"/>
    </row>
    <row r="249" spans="29:30" s="8" customFormat="1" ht="11.25">
      <c r="AC249" s="33"/>
      <c r="AD249" s="33"/>
    </row>
    <row r="250" spans="29:30" s="8" customFormat="1" ht="11.25">
      <c r="AC250" s="33"/>
      <c r="AD250" s="33"/>
    </row>
    <row r="251" spans="29:30" s="8" customFormat="1" ht="11.25">
      <c r="AC251" s="33"/>
      <c r="AD251" s="33"/>
    </row>
    <row r="252" spans="29:30" s="8" customFormat="1" ht="11.25">
      <c r="AC252" s="33"/>
      <c r="AD252" s="33"/>
    </row>
    <row r="253" spans="29:30" s="8" customFormat="1" ht="11.25">
      <c r="AC253" s="33"/>
      <c r="AD253" s="33"/>
    </row>
    <row r="254" spans="29:30" s="8" customFormat="1" ht="11.25">
      <c r="AC254" s="33"/>
      <c r="AD254" s="33"/>
    </row>
    <row r="255" spans="29:30" s="8" customFormat="1" ht="11.25">
      <c r="AC255" s="33"/>
      <c r="AD255" s="33"/>
    </row>
    <row r="256" spans="29:30" s="8" customFormat="1" ht="11.25">
      <c r="AC256" s="33"/>
      <c r="AD256" s="33"/>
    </row>
    <row r="257" spans="29:30" s="8" customFormat="1" ht="11.25">
      <c r="AC257" s="33"/>
      <c r="AD257" s="33"/>
    </row>
    <row r="258" spans="29:30" s="8" customFormat="1" ht="11.25">
      <c r="AC258" s="33"/>
      <c r="AD258" s="33"/>
    </row>
    <row r="259" spans="29:30" s="8" customFormat="1" ht="11.25">
      <c r="AC259" s="33"/>
      <c r="AD259" s="33"/>
    </row>
    <row r="260" spans="29:30" s="8" customFormat="1" ht="11.25">
      <c r="AC260" s="33"/>
      <c r="AD260" s="33"/>
    </row>
    <row r="261" spans="29:30" s="8" customFormat="1" ht="11.25">
      <c r="AC261" s="33"/>
      <c r="AD261" s="33"/>
    </row>
    <row r="262" spans="29:30" s="8" customFormat="1" ht="11.25">
      <c r="AC262" s="33"/>
      <c r="AD262" s="33"/>
    </row>
    <row r="263" spans="29:30" s="8" customFormat="1" ht="11.25">
      <c r="AC263" s="33"/>
      <c r="AD263" s="33"/>
    </row>
    <row r="264" spans="29:30" s="8" customFormat="1" ht="11.25">
      <c r="AC264" s="33"/>
      <c r="AD264" s="33"/>
    </row>
    <row r="265" spans="29:30" s="8" customFormat="1" ht="11.25">
      <c r="AC265" s="33"/>
      <c r="AD265" s="33"/>
    </row>
    <row r="266" spans="29:30" s="8" customFormat="1" ht="11.25">
      <c r="AC266" s="33"/>
      <c r="AD266" s="33"/>
    </row>
    <row r="267" spans="29:30" s="8" customFormat="1" ht="11.25">
      <c r="AC267" s="33"/>
      <c r="AD267" s="33"/>
    </row>
    <row r="268" spans="29:30" s="8" customFormat="1" ht="11.25">
      <c r="AC268" s="33"/>
      <c r="AD268" s="33"/>
    </row>
    <row r="269" spans="29:30" s="8" customFormat="1" ht="11.25">
      <c r="AC269" s="33"/>
      <c r="AD269" s="33"/>
    </row>
    <row r="270" spans="29:30" s="8" customFormat="1" ht="11.25">
      <c r="AC270" s="33"/>
      <c r="AD270" s="33"/>
    </row>
    <row r="271" spans="29:30" s="8" customFormat="1" ht="11.25">
      <c r="AC271" s="33"/>
      <c r="AD271" s="33"/>
    </row>
    <row r="272" spans="29:30" s="8" customFormat="1" ht="11.25">
      <c r="AC272" s="33"/>
      <c r="AD272" s="33"/>
    </row>
    <row r="273" spans="29:30" s="8" customFormat="1" ht="11.25">
      <c r="AC273" s="33"/>
      <c r="AD273" s="33"/>
    </row>
    <row r="274" spans="29:30" s="8" customFormat="1" ht="11.25">
      <c r="AC274" s="33"/>
      <c r="AD274" s="33"/>
    </row>
    <row r="275" spans="29:30" s="8" customFormat="1" ht="11.25">
      <c r="AC275" s="33"/>
      <c r="AD275" s="33"/>
    </row>
    <row r="276" spans="29:30" s="8" customFormat="1" ht="11.25">
      <c r="AC276" s="33"/>
      <c r="AD276" s="33"/>
    </row>
    <row r="277" spans="29:30" s="8" customFormat="1" ht="11.25">
      <c r="AC277" s="33"/>
      <c r="AD277" s="33"/>
    </row>
    <row r="278" spans="29:30" s="8" customFormat="1" ht="11.25">
      <c r="AC278" s="33"/>
      <c r="AD278" s="33"/>
    </row>
    <row r="279" spans="29:30" s="8" customFormat="1" ht="11.25">
      <c r="AC279" s="33"/>
      <c r="AD279" s="33"/>
    </row>
    <row r="280" spans="29:30" s="8" customFormat="1" ht="11.25">
      <c r="AC280" s="33"/>
      <c r="AD280" s="33"/>
    </row>
    <row r="281" spans="29:30" s="8" customFormat="1" ht="11.25">
      <c r="AC281" s="33"/>
      <c r="AD281" s="33"/>
    </row>
    <row r="282" spans="29:30" s="8" customFormat="1" ht="11.25">
      <c r="AC282" s="33"/>
      <c r="AD282" s="33"/>
    </row>
    <row r="283" spans="29:30" s="8" customFormat="1" ht="11.25">
      <c r="AC283" s="33"/>
      <c r="AD283" s="33"/>
    </row>
    <row r="284" spans="29:30" s="8" customFormat="1" ht="11.25">
      <c r="AC284" s="33"/>
      <c r="AD284" s="33"/>
    </row>
  </sheetData>
  <mergeCells count="51">
    <mergeCell ref="R50:S50"/>
    <mergeCell ref="N47:T47"/>
    <mergeCell ref="N30:P30"/>
    <mergeCell ref="N31:O31"/>
    <mergeCell ref="N34:T34"/>
    <mergeCell ref="N45:S45"/>
    <mergeCell ref="F35:L35"/>
    <mergeCell ref="F31:L31"/>
    <mergeCell ref="F32:L32"/>
    <mergeCell ref="F26:I26"/>
    <mergeCell ref="N20:S20"/>
    <mergeCell ref="N21:S21"/>
    <mergeCell ref="N22:S22"/>
    <mergeCell ref="N23:S23"/>
    <mergeCell ref="A1:C2"/>
    <mergeCell ref="F10:I10"/>
    <mergeCell ref="F21:I21"/>
    <mergeCell ref="F8:L8"/>
    <mergeCell ref="I9:L9"/>
    <mergeCell ref="N27:P27"/>
    <mergeCell ref="N25:Q25"/>
    <mergeCell ref="N19:T19"/>
    <mergeCell ref="N12:O12"/>
    <mergeCell ref="N13:O13"/>
    <mergeCell ref="AC8:AH8"/>
    <mergeCell ref="AC14:AH14"/>
    <mergeCell ref="AD18:AF18"/>
    <mergeCell ref="V8:AA8"/>
    <mergeCell ref="N8:T8"/>
    <mergeCell ref="N9:O9"/>
    <mergeCell ref="N10:O10"/>
    <mergeCell ref="V67:AA67"/>
    <mergeCell ref="F64:L64"/>
    <mergeCell ref="F60:L60"/>
    <mergeCell ref="AC35:AH35"/>
    <mergeCell ref="AC36:AH36"/>
    <mergeCell ref="N11:O11"/>
    <mergeCell ref="AC30:AH30"/>
    <mergeCell ref="AC34:AH34"/>
    <mergeCell ref="V23:AA23"/>
    <mergeCell ref="AE27:AF27"/>
    <mergeCell ref="F23:L23"/>
    <mergeCell ref="V44:AA44"/>
    <mergeCell ref="V54:AA54"/>
    <mergeCell ref="F44:L44"/>
    <mergeCell ref="F39:L39"/>
    <mergeCell ref="N54:T54"/>
    <mergeCell ref="N28:P28"/>
    <mergeCell ref="F37:L37"/>
    <mergeCell ref="F36:L36"/>
    <mergeCell ref="F29:I29"/>
  </mergeCells>
  <phoneticPr fontId="2" type="noConversion"/>
  <pageMargins left="0.75" right="0.75" top="0.6" bottom="0.9" header="0.5" footer="0"/>
  <pageSetup paperSize="17" scale="6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F102"/>
  <sheetViews>
    <sheetView zoomScale="80" zoomScaleNormal="80" workbookViewId="0">
      <selection activeCell="B17" sqref="B17:C19"/>
    </sheetView>
  </sheetViews>
  <sheetFormatPr defaultRowHeight="12.75"/>
  <cols>
    <col min="1" max="1" width="8.28515625" bestFit="1" customWidth="1"/>
    <col min="2" max="2" width="21.5703125" style="5" bestFit="1" customWidth="1"/>
    <col min="3" max="3" width="6.85546875" style="5" bestFit="1" customWidth="1"/>
    <col min="4" max="4" width="9.140625" style="5" hidden="1" customWidth="1"/>
    <col min="5" max="5" width="10.28515625" style="5" customWidth="1"/>
    <col min="6" max="6" width="7.140625" style="5" bestFit="1" customWidth="1"/>
    <col min="7" max="7" width="11.42578125" style="5" bestFit="1" customWidth="1"/>
    <col min="8" max="10" width="11.42578125" style="5" customWidth="1"/>
    <col min="11" max="11" width="21.42578125" style="5" bestFit="1" customWidth="1"/>
    <col min="12" max="12" width="11" style="5" bestFit="1" customWidth="1"/>
    <col min="13" max="13" width="32.7109375" style="5" customWidth="1"/>
    <col min="14" max="14" width="12" style="5" bestFit="1" customWidth="1"/>
    <col min="15" max="15" width="23.7109375" style="5" customWidth="1"/>
    <col min="16" max="16" width="15" style="5" bestFit="1" customWidth="1"/>
    <col min="17" max="17" width="7.7109375" style="5" customWidth="1"/>
    <col min="18" max="18" width="6.140625" style="5" bestFit="1" customWidth="1"/>
    <col min="19" max="19" width="8.28515625" style="5" bestFit="1" customWidth="1"/>
    <col min="20" max="20" width="10" style="5" bestFit="1" customWidth="1"/>
    <col min="21" max="21" width="5.85546875" style="5" bestFit="1" customWidth="1"/>
    <col min="22" max="22" width="9.5703125" style="5" bestFit="1" customWidth="1"/>
    <col min="23" max="23" width="12" style="5" bestFit="1" customWidth="1"/>
    <col min="24" max="24" width="11.85546875" style="5" bestFit="1" customWidth="1"/>
    <col min="25" max="25" width="15.140625" style="5" bestFit="1" customWidth="1"/>
    <col min="26" max="26" width="15.7109375" style="5" customWidth="1"/>
    <col min="28" max="28" width="21.5703125" bestFit="1" customWidth="1"/>
    <col min="30" max="30" width="13.5703125" customWidth="1"/>
  </cols>
  <sheetData>
    <row r="2" spans="1:26">
      <c r="X2" s="5" t="s">
        <v>446</v>
      </c>
    </row>
    <row r="3" spans="1:26">
      <c r="G3" s="5" t="s">
        <v>444</v>
      </c>
      <c r="K3" s="5" t="s">
        <v>457</v>
      </c>
      <c r="O3" s="5" t="s">
        <v>457</v>
      </c>
      <c r="V3" s="5" t="s">
        <v>3</v>
      </c>
      <c r="X3" s="5" t="s">
        <v>447</v>
      </c>
    </row>
    <row r="4" spans="1:26">
      <c r="A4" s="4" t="s">
        <v>9</v>
      </c>
      <c r="B4" s="4" t="s">
        <v>358</v>
      </c>
      <c r="C4" s="4" t="s">
        <v>14</v>
      </c>
      <c r="D4" s="4"/>
      <c r="E4" s="4" t="s">
        <v>407</v>
      </c>
      <c r="F4" s="4" t="s">
        <v>408</v>
      </c>
      <c r="G4" s="4" t="s">
        <v>409</v>
      </c>
      <c r="H4" s="4" t="s">
        <v>453</v>
      </c>
      <c r="I4" s="4" t="s">
        <v>465</v>
      </c>
      <c r="J4" s="4" t="s">
        <v>470</v>
      </c>
      <c r="K4" s="4" t="s">
        <v>456</v>
      </c>
      <c r="L4" s="4" t="s">
        <v>410</v>
      </c>
      <c r="M4" s="4" t="s">
        <v>474</v>
      </c>
      <c r="N4" s="4" t="s">
        <v>470</v>
      </c>
      <c r="O4" s="4" t="s">
        <v>456</v>
      </c>
      <c r="P4" s="4" t="s">
        <v>415</v>
      </c>
      <c r="Q4" s="4" t="s">
        <v>428</v>
      </c>
      <c r="R4" s="4" t="s">
        <v>417</v>
      </c>
      <c r="S4" s="4" t="s">
        <v>426</v>
      </c>
      <c r="T4" s="4" t="s">
        <v>107</v>
      </c>
      <c r="U4" s="4" t="s">
        <v>276</v>
      </c>
      <c r="V4" s="4" t="s">
        <v>2</v>
      </c>
      <c r="W4" s="4" t="s">
        <v>443</v>
      </c>
      <c r="X4" s="4" t="s">
        <v>445</v>
      </c>
      <c r="Y4" s="4" t="s">
        <v>452</v>
      </c>
      <c r="Z4" s="4" t="s">
        <v>451</v>
      </c>
    </row>
    <row r="5" spans="1:26">
      <c r="A5" s="1" t="s">
        <v>376</v>
      </c>
      <c r="B5" s="105" t="s">
        <v>416</v>
      </c>
      <c r="C5" s="5" t="s">
        <v>411</v>
      </c>
      <c r="E5" s="5" t="s">
        <v>413</v>
      </c>
      <c r="F5" s="5" t="s">
        <v>412</v>
      </c>
      <c r="G5" s="105" t="s">
        <v>473</v>
      </c>
      <c r="H5" s="105" t="s">
        <v>472</v>
      </c>
      <c r="I5" s="105" t="s">
        <v>434</v>
      </c>
      <c r="J5" s="105" t="s">
        <v>471</v>
      </c>
      <c r="K5" s="5" t="s">
        <v>460</v>
      </c>
      <c r="L5" s="5" t="s">
        <v>414</v>
      </c>
      <c r="M5" s="105" t="s">
        <v>475</v>
      </c>
      <c r="N5" s="105" t="s">
        <v>479</v>
      </c>
      <c r="O5" s="5" t="s">
        <v>464</v>
      </c>
      <c r="P5" s="5">
        <v>32</v>
      </c>
      <c r="Q5" s="5">
        <v>9</v>
      </c>
      <c r="R5" s="5">
        <v>10</v>
      </c>
      <c r="S5" s="5">
        <v>155</v>
      </c>
      <c r="T5" s="5">
        <v>30</v>
      </c>
      <c r="U5" s="5" t="s">
        <v>427</v>
      </c>
      <c r="V5" s="5">
        <v>485</v>
      </c>
      <c r="W5" s="5" t="s">
        <v>3</v>
      </c>
      <c r="X5" s="5">
        <f>V5*0.25</f>
        <v>121.25</v>
      </c>
      <c r="Y5" s="5" t="s">
        <v>3</v>
      </c>
      <c r="Z5" s="5" t="str">
        <f t="shared" ref="Z5:Z12" si="0">IF(X5&gt;$C$19,"FA = OK","FA = Not Enough")</f>
        <v>FA = Not Enough</v>
      </c>
    </row>
    <row r="6" spans="1:26">
      <c r="A6" s="1" t="s">
        <v>4</v>
      </c>
      <c r="B6" s="5" t="s">
        <v>418</v>
      </c>
      <c r="C6" s="5" t="s">
        <v>436</v>
      </c>
      <c r="E6" s="5" t="s">
        <v>439</v>
      </c>
      <c r="F6" s="5" t="s">
        <v>441</v>
      </c>
      <c r="G6" s="5" t="s">
        <v>434</v>
      </c>
      <c r="H6" s="5" t="s">
        <v>454</v>
      </c>
      <c r="I6" s="105" t="s">
        <v>466</v>
      </c>
      <c r="J6" s="105" t="s">
        <v>471</v>
      </c>
      <c r="K6" s="5" t="s">
        <v>458</v>
      </c>
      <c r="L6" s="5" t="s">
        <v>435</v>
      </c>
      <c r="M6" s="105" t="s">
        <v>476</v>
      </c>
      <c r="N6" s="105" t="s">
        <v>480</v>
      </c>
      <c r="O6" s="5" t="s">
        <v>461</v>
      </c>
      <c r="P6" s="5">
        <v>35</v>
      </c>
      <c r="Q6" s="5">
        <v>9.1999999999999993</v>
      </c>
      <c r="R6" s="5">
        <v>10.199999999999999</v>
      </c>
      <c r="S6" s="5">
        <v>300</v>
      </c>
      <c r="T6" s="5">
        <v>60</v>
      </c>
      <c r="U6" s="5" t="s">
        <v>429</v>
      </c>
      <c r="V6" s="5">
        <v>650</v>
      </c>
      <c r="W6" s="5">
        <v>42.7</v>
      </c>
      <c r="X6" s="5">
        <f t="shared" ref="X6:X12" si="1">V6*0.25</f>
        <v>162.5</v>
      </c>
      <c r="Y6" s="5">
        <f>V6/200</f>
        <v>3.25</v>
      </c>
      <c r="Z6" s="5" t="str">
        <f t="shared" si="0"/>
        <v>FA = OK</v>
      </c>
    </row>
    <row r="7" spans="1:26">
      <c r="A7" s="1" t="s">
        <v>5</v>
      </c>
      <c r="B7" s="5" t="s">
        <v>419</v>
      </c>
      <c r="C7" s="5" t="s">
        <v>436</v>
      </c>
      <c r="E7" s="5" t="s">
        <v>439</v>
      </c>
      <c r="F7" s="5" t="s">
        <v>441</v>
      </c>
      <c r="G7" s="5" t="s">
        <v>434</v>
      </c>
      <c r="H7" s="5" t="s">
        <v>454</v>
      </c>
      <c r="I7" s="105" t="s">
        <v>466</v>
      </c>
      <c r="J7" s="105" t="s">
        <v>471</v>
      </c>
      <c r="K7" s="5" t="s">
        <v>458</v>
      </c>
      <c r="L7" s="5" t="s">
        <v>435</v>
      </c>
      <c r="M7" s="105" t="s">
        <v>476</v>
      </c>
      <c r="N7" s="105" t="s">
        <v>480</v>
      </c>
      <c r="O7" s="5" t="s">
        <v>461</v>
      </c>
      <c r="P7" s="5">
        <v>35</v>
      </c>
      <c r="Q7" s="5">
        <v>9.1999999999999993</v>
      </c>
      <c r="R7" s="5">
        <v>10.199999999999999</v>
      </c>
      <c r="S7" s="5">
        <v>300</v>
      </c>
      <c r="T7" s="5">
        <v>60</v>
      </c>
      <c r="U7" s="5" t="s">
        <v>429</v>
      </c>
      <c r="V7" s="5">
        <v>800</v>
      </c>
      <c r="W7" s="5">
        <v>42.7</v>
      </c>
      <c r="X7" s="5">
        <f t="shared" si="1"/>
        <v>200</v>
      </c>
      <c r="Y7" s="5">
        <f t="shared" ref="Y7:Y12" si="2">V7/200</f>
        <v>4</v>
      </c>
      <c r="Z7" s="5" t="str">
        <f t="shared" si="0"/>
        <v>FA = OK</v>
      </c>
    </row>
    <row r="8" spans="1:26">
      <c r="A8" s="104" t="s">
        <v>420</v>
      </c>
      <c r="B8" s="5" t="s">
        <v>421</v>
      </c>
      <c r="C8" s="5" t="s">
        <v>437</v>
      </c>
      <c r="E8" s="5" t="s">
        <v>439</v>
      </c>
      <c r="F8" s="5" t="s">
        <v>441</v>
      </c>
      <c r="G8" s="5" t="s">
        <v>431</v>
      </c>
      <c r="H8" s="5" t="s">
        <v>430</v>
      </c>
      <c r="I8" s="105" t="s">
        <v>467</v>
      </c>
      <c r="J8" s="105" t="s">
        <v>471</v>
      </c>
      <c r="K8" s="5" t="s">
        <v>458</v>
      </c>
      <c r="L8" s="5" t="s">
        <v>433</v>
      </c>
      <c r="M8" s="105" t="s">
        <v>477</v>
      </c>
      <c r="N8" s="105" t="s">
        <v>481</v>
      </c>
      <c r="O8" s="5" t="s">
        <v>462</v>
      </c>
      <c r="P8" s="5">
        <v>40</v>
      </c>
      <c r="Q8" s="5">
        <v>9.3000000000000007</v>
      </c>
      <c r="R8" s="5">
        <v>10.6</v>
      </c>
      <c r="S8" s="5">
        <v>355</v>
      </c>
      <c r="T8" s="5">
        <v>60</v>
      </c>
      <c r="U8" s="5" t="s">
        <v>429</v>
      </c>
      <c r="V8" s="5">
        <v>1000</v>
      </c>
      <c r="W8" s="5">
        <v>47</v>
      </c>
      <c r="X8" s="5">
        <f t="shared" si="1"/>
        <v>250</v>
      </c>
      <c r="Y8" s="5">
        <f t="shared" si="2"/>
        <v>5</v>
      </c>
      <c r="Z8" s="5" t="str">
        <f t="shared" si="0"/>
        <v>FA = OK</v>
      </c>
    </row>
    <row r="9" spans="1:26">
      <c r="A9" s="1" t="s">
        <v>1</v>
      </c>
      <c r="B9" s="5" t="s">
        <v>422</v>
      </c>
      <c r="C9" s="5" t="s">
        <v>437</v>
      </c>
      <c r="E9" s="5" t="s">
        <v>439</v>
      </c>
      <c r="F9" s="5" t="s">
        <v>441</v>
      </c>
      <c r="G9" s="5" t="s">
        <v>431</v>
      </c>
      <c r="H9" s="5" t="s">
        <v>468</v>
      </c>
      <c r="I9" s="134" t="s">
        <v>469</v>
      </c>
      <c r="J9" s="105" t="s">
        <v>471</v>
      </c>
      <c r="K9" s="5" t="s">
        <v>458</v>
      </c>
      <c r="L9" s="5" t="s">
        <v>433</v>
      </c>
      <c r="M9" s="105" t="s">
        <v>477</v>
      </c>
      <c r="N9" s="105" t="s">
        <v>481</v>
      </c>
      <c r="O9" s="5" t="s">
        <v>462</v>
      </c>
      <c r="P9" s="5">
        <v>40</v>
      </c>
      <c r="Q9" s="5">
        <v>9.1999999999999993</v>
      </c>
      <c r="R9" s="5">
        <v>10</v>
      </c>
      <c r="S9" s="5">
        <v>355</v>
      </c>
      <c r="T9" s="5">
        <v>60</v>
      </c>
      <c r="U9" s="5" t="s">
        <v>429</v>
      </c>
      <c r="V9" s="5">
        <v>1100</v>
      </c>
      <c r="W9" s="5">
        <v>47</v>
      </c>
      <c r="X9" s="5">
        <f t="shared" si="1"/>
        <v>275</v>
      </c>
      <c r="Y9" s="5">
        <f t="shared" si="2"/>
        <v>5.5</v>
      </c>
      <c r="Z9" s="5" t="str">
        <f t="shared" si="0"/>
        <v>FA = OK</v>
      </c>
    </row>
    <row r="10" spans="1:26">
      <c r="A10" s="1" t="s">
        <v>6</v>
      </c>
      <c r="B10" s="5" t="s">
        <v>423</v>
      </c>
      <c r="C10" s="5" t="s">
        <v>438</v>
      </c>
      <c r="E10" s="5" t="s">
        <v>440</v>
      </c>
      <c r="F10" s="5" t="s">
        <v>442</v>
      </c>
      <c r="G10" s="5" t="s">
        <v>430</v>
      </c>
      <c r="H10" s="5" t="s">
        <v>455</v>
      </c>
      <c r="I10" s="105" t="s">
        <v>469</v>
      </c>
      <c r="J10" s="105" t="s">
        <v>471</v>
      </c>
      <c r="K10" s="5" t="s">
        <v>459</v>
      </c>
      <c r="L10" s="5" t="s">
        <v>432</v>
      </c>
      <c r="M10" s="105" t="s">
        <v>478</v>
      </c>
      <c r="N10" s="105" t="s">
        <v>482</v>
      </c>
      <c r="O10" s="5" t="s">
        <v>463</v>
      </c>
      <c r="P10" s="5">
        <v>43.88</v>
      </c>
      <c r="Q10" s="5">
        <v>9.1999999999999993</v>
      </c>
      <c r="R10" s="5">
        <v>10.6</v>
      </c>
      <c r="S10" s="5">
        <v>500</v>
      </c>
      <c r="T10" s="5">
        <v>60</v>
      </c>
      <c r="U10" s="5" t="s">
        <v>429</v>
      </c>
      <c r="V10" s="5">
        <v>1400</v>
      </c>
      <c r="W10" s="5">
        <v>47</v>
      </c>
      <c r="X10" s="5">
        <f t="shared" si="1"/>
        <v>350</v>
      </c>
      <c r="Y10" s="5">
        <f t="shared" si="2"/>
        <v>7</v>
      </c>
      <c r="Z10" s="5" t="str">
        <f t="shared" si="0"/>
        <v>FA = OK</v>
      </c>
    </row>
    <row r="11" spans="1:26">
      <c r="A11" s="1" t="s">
        <v>7</v>
      </c>
      <c r="B11" s="5" t="s">
        <v>424</v>
      </c>
      <c r="C11" s="5" t="s">
        <v>438</v>
      </c>
      <c r="E11" s="5" t="s">
        <v>440</v>
      </c>
      <c r="F11" s="5" t="s">
        <v>442</v>
      </c>
      <c r="G11" s="5" t="s">
        <v>430</v>
      </c>
      <c r="H11" s="5" t="s">
        <v>455</v>
      </c>
      <c r="I11" s="105" t="s">
        <v>469</v>
      </c>
      <c r="J11" s="105" t="s">
        <v>471</v>
      </c>
      <c r="K11" s="5" t="s">
        <v>459</v>
      </c>
      <c r="L11" s="5" t="s">
        <v>432</v>
      </c>
      <c r="M11" s="105" t="s">
        <v>478</v>
      </c>
      <c r="N11" s="105" t="s">
        <v>482</v>
      </c>
      <c r="O11" s="5" t="s">
        <v>463</v>
      </c>
      <c r="P11" s="5">
        <v>43.88</v>
      </c>
      <c r="Q11" s="5">
        <v>9.6</v>
      </c>
      <c r="R11" s="5">
        <v>11</v>
      </c>
      <c r="S11" s="5">
        <v>500</v>
      </c>
      <c r="T11" s="5">
        <v>60</v>
      </c>
      <c r="U11" s="5" t="s">
        <v>429</v>
      </c>
      <c r="V11" s="5">
        <v>1550</v>
      </c>
      <c r="W11" s="5">
        <v>47</v>
      </c>
      <c r="X11" s="5">
        <f t="shared" si="1"/>
        <v>387.5</v>
      </c>
      <c r="Y11" s="5">
        <f t="shared" si="2"/>
        <v>7.75</v>
      </c>
      <c r="Z11" s="5" t="str">
        <f t="shared" si="0"/>
        <v>FA = OK</v>
      </c>
    </row>
    <row r="12" spans="1:26">
      <c r="A12" s="1" t="s">
        <v>8</v>
      </c>
      <c r="B12" s="5" t="s">
        <v>425</v>
      </c>
      <c r="C12" s="5" t="s">
        <v>438</v>
      </c>
      <c r="E12" s="5" t="s">
        <v>440</v>
      </c>
      <c r="F12" s="5" t="s">
        <v>442</v>
      </c>
      <c r="G12" s="5" t="s">
        <v>430</v>
      </c>
      <c r="H12" s="5" t="s">
        <v>455</v>
      </c>
      <c r="I12" s="105" t="s">
        <v>469</v>
      </c>
      <c r="J12" s="105" t="s">
        <v>471</v>
      </c>
      <c r="K12" s="5" t="s">
        <v>459</v>
      </c>
      <c r="L12" s="5" t="s">
        <v>432</v>
      </c>
      <c r="M12" s="105" t="s">
        <v>478</v>
      </c>
      <c r="N12" s="105" t="s">
        <v>482</v>
      </c>
      <c r="O12" s="5" t="s">
        <v>463</v>
      </c>
      <c r="P12" s="5">
        <v>43.88</v>
      </c>
      <c r="Q12" s="5">
        <v>8.6999999999999993</v>
      </c>
      <c r="R12" s="5">
        <v>10.199999999999999</v>
      </c>
      <c r="S12" s="5">
        <v>500</v>
      </c>
      <c r="T12" s="5">
        <v>60</v>
      </c>
      <c r="U12" s="5" t="s">
        <v>429</v>
      </c>
      <c r="V12" s="5">
        <v>1700</v>
      </c>
      <c r="W12" s="5">
        <v>47</v>
      </c>
      <c r="X12" s="5">
        <f t="shared" si="1"/>
        <v>425</v>
      </c>
      <c r="Y12" s="5">
        <f t="shared" si="2"/>
        <v>8.5</v>
      </c>
      <c r="Z12" s="5" t="str">
        <f t="shared" si="0"/>
        <v>FA = OK</v>
      </c>
    </row>
    <row r="17" spans="2:23">
      <c r="B17" t="s">
        <v>175</v>
      </c>
      <c r="C17">
        <f ca="1">IF(Inputs!E24=Inputs!E31,Inputs!H33,Inputs!H34)</f>
        <v>7</v>
      </c>
      <c r="D17"/>
    </row>
    <row r="18" spans="2:23">
      <c r="B18" t="s">
        <v>176</v>
      </c>
      <c r="C18">
        <f ca="1">IF(Inputs!E24=Inputs!E31,Inputs!J33,Inputs!J34)</f>
        <v>20</v>
      </c>
      <c r="D18" t="s">
        <v>2</v>
      </c>
    </row>
    <row r="19" spans="2:23">
      <c r="B19" t="s">
        <v>179</v>
      </c>
      <c r="C19">
        <f>C18*C17</f>
        <v>140</v>
      </c>
      <c r="D19" t="s">
        <v>2</v>
      </c>
      <c r="L19" s="2" t="s">
        <v>409</v>
      </c>
      <c r="M19" s="2" t="s">
        <v>554</v>
      </c>
      <c r="W19" s="107"/>
    </row>
    <row r="20" spans="2:23">
      <c r="L20" s="2" t="s">
        <v>410</v>
      </c>
      <c r="M20" s="2" t="s">
        <v>554</v>
      </c>
    </row>
    <row r="21" spans="2:23">
      <c r="L21" s="2" t="s">
        <v>567</v>
      </c>
      <c r="M21" s="2" t="s">
        <v>115</v>
      </c>
    </row>
    <row r="22" spans="2:23">
      <c r="L22" s="2" t="s">
        <v>555</v>
      </c>
      <c r="M22" s="2" t="s">
        <v>557</v>
      </c>
    </row>
    <row r="23" spans="2:23">
      <c r="L23" s="2" t="s">
        <v>556</v>
      </c>
      <c r="M23" s="2" t="s">
        <v>558</v>
      </c>
    </row>
    <row r="24" spans="2:23">
      <c r="L24" s="2" t="s">
        <v>559</v>
      </c>
      <c r="M24" s="2" t="s">
        <v>557</v>
      </c>
      <c r="O24" s="5" t="s">
        <v>3</v>
      </c>
    </row>
    <row r="25" spans="2:23">
      <c r="L25" s="2" t="s">
        <v>560</v>
      </c>
      <c r="M25" s="2" t="s">
        <v>558</v>
      </c>
      <c r="O25" s="5" t="s">
        <v>3</v>
      </c>
    </row>
    <row r="26" spans="2:23">
      <c r="L26" s="2" t="s">
        <v>561</v>
      </c>
      <c r="M26" s="2" t="s">
        <v>562</v>
      </c>
      <c r="O26" s="5" t="s">
        <v>3</v>
      </c>
    </row>
    <row r="27" spans="2:23">
      <c r="L27" s="2" t="s">
        <v>563</v>
      </c>
      <c r="M27" s="2" t="s">
        <v>564</v>
      </c>
    </row>
    <row r="28" spans="2:23">
      <c r="L28" s="2" t="s">
        <v>565</v>
      </c>
      <c r="M28" s="2" t="s">
        <v>566</v>
      </c>
    </row>
    <row r="41" spans="5:32">
      <c r="R41" s="227" t="s">
        <v>3</v>
      </c>
      <c r="S41" s="227"/>
      <c r="T41" s="227"/>
      <c r="U41" s="227"/>
    </row>
    <row r="42" spans="5:32">
      <c r="E42" s="240" t="s">
        <v>579</v>
      </c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</row>
    <row r="43" spans="5:32"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</row>
    <row r="44" spans="5:32">
      <c r="E44" s="2"/>
      <c r="F44" s="2" t="s">
        <v>3</v>
      </c>
      <c r="G44" s="2" t="s">
        <v>571</v>
      </c>
      <c r="H44" s="2" t="s">
        <v>572</v>
      </c>
      <c r="I44" s="2" t="s">
        <v>572</v>
      </c>
      <c r="J44" s="2" t="s">
        <v>572</v>
      </c>
      <c r="K44" s="2" t="s">
        <v>573</v>
      </c>
      <c r="L44" s="2" t="s">
        <v>572</v>
      </c>
      <c r="M44" s="2" t="s">
        <v>572</v>
      </c>
      <c r="N44" s="2" t="s">
        <v>571</v>
      </c>
      <c r="O44" s="2" t="s">
        <v>161</v>
      </c>
      <c r="P44" s="2" t="s">
        <v>576</v>
      </c>
      <c r="Q44" s="2"/>
      <c r="T44" s="134" t="s">
        <v>3</v>
      </c>
      <c r="U44" s="134" t="s">
        <v>3</v>
      </c>
    </row>
    <row r="45" spans="5:32">
      <c r="E45" s="2" t="s">
        <v>578</v>
      </c>
      <c r="F45" s="2" t="s">
        <v>574</v>
      </c>
      <c r="G45" s="2">
        <v>25598</v>
      </c>
      <c r="H45" s="2">
        <v>20478</v>
      </c>
      <c r="I45" s="2">
        <v>20478</v>
      </c>
      <c r="J45" s="2">
        <v>20478</v>
      </c>
      <c r="K45" s="2">
        <v>12799</v>
      </c>
      <c r="L45" s="2">
        <v>20478</v>
      </c>
      <c r="M45" s="2">
        <v>20478</v>
      </c>
      <c r="N45" s="2">
        <v>25598</v>
      </c>
      <c r="O45" s="2">
        <f>SUM(G45:N45)</f>
        <v>166385</v>
      </c>
      <c r="P45" s="2">
        <v>162171</v>
      </c>
      <c r="Q45" s="2">
        <f>O45-P45</f>
        <v>4214</v>
      </c>
    </row>
    <row r="46" spans="5:32">
      <c r="E46" s="2" t="s">
        <v>577</v>
      </c>
      <c r="F46" s="2" t="s">
        <v>575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f>SUM(G46:N46)</f>
        <v>24</v>
      </c>
      <c r="P46" s="2">
        <v>24.5</v>
      </c>
      <c r="Q46" s="2">
        <f>O46-P46</f>
        <v>-0.5</v>
      </c>
      <c r="T46" s="2" t="s">
        <v>580</v>
      </c>
      <c r="U46" s="2"/>
      <c r="V46" s="2" t="s">
        <v>104</v>
      </c>
      <c r="W46" s="2"/>
      <c r="X46" s="2">
        <v>10</v>
      </c>
      <c r="Y46" s="2">
        <v>12</v>
      </c>
      <c r="Z46" s="2">
        <v>12</v>
      </c>
      <c r="AA46" s="2">
        <v>12</v>
      </c>
      <c r="AB46" s="2">
        <v>8</v>
      </c>
      <c r="AC46" s="2">
        <v>12</v>
      </c>
      <c r="AD46" s="2">
        <v>12</v>
      </c>
      <c r="AE46" s="2">
        <v>12</v>
      </c>
      <c r="AF46" s="2">
        <f>SUM(X46:AE46)</f>
        <v>90</v>
      </c>
    </row>
    <row r="47" spans="5:32">
      <c r="O47" s="134" t="s">
        <v>3</v>
      </c>
      <c r="T47" s="2" t="s">
        <v>581</v>
      </c>
      <c r="U47" s="2"/>
      <c r="V47" s="2" t="s">
        <v>582</v>
      </c>
      <c r="W47" s="2"/>
      <c r="X47" s="2">
        <v>3</v>
      </c>
      <c r="Y47" s="2"/>
      <c r="Z47" s="2"/>
      <c r="AA47" s="2"/>
      <c r="AB47" s="2">
        <v>2</v>
      </c>
      <c r="AC47" s="2"/>
      <c r="AD47" s="2"/>
      <c r="AE47" s="2"/>
      <c r="AF47" s="2">
        <f>SUM(X47:AE47)</f>
        <v>5</v>
      </c>
    </row>
    <row r="48" spans="5:32">
      <c r="O48" s="134" t="s">
        <v>3</v>
      </c>
    </row>
    <row r="49" spans="5:32">
      <c r="E49" s="240" t="s">
        <v>583</v>
      </c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W49" s="5" t="s">
        <v>3</v>
      </c>
      <c r="X49" s="5" t="s">
        <v>3</v>
      </c>
      <c r="AA49" t="s">
        <v>3</v>
      </c>
    </row>
    <row r="50" spans="5:32"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W50" s="5" t="s">
        <v>3</v>
      </c>
      <c r="X50" s="108" t="s">
        <v>3</v>
      </c>
      <c r="Y50" s="108"/>
      <c r="Z50" s="108"/>
      <c r="AA50" t="s">
        <v>3</v>
      </c>
    </row>
    <row r="51" spans="5:32">
      <c r="E51" s="2"/>
      <c r="F51" s="2" t="s">
        <v>3</v>
      </c>
      <c r="G51" s="2" t="s">
        <v>571</v>
      </c>
      <c r="H51" s="2" t="s">
        <v>572</v>
      </c>
      <c r="I51" s="2"/>
      <c r="J51" s="2" t="s">
        <v>572</v>
      </c>
      <c r="K51" s="2" t="s">
        <v>573</v>
      </c>
      <c r="L51" s="2" t="s">
        <v>572</v>
      </c>
      <c r="M51" s="2" t="s">
        <v>572</v>
      </c>
      <c r="N51" s="2" t="s">
        <v>571</v>
      </c>
      <c r="O51" s="2" t="s">
        <v>161</v>
      </c>
      <c r="P51" s="2" t="s">
        <v>576</v>
      </c>
      <c r="Q51" s="2"/>
    </row>
    <row r="52" spans="5:32">
      <c r="E52" s="2" t="s">
        <v>578</v>
      </c>
      <c r="F52" s="2" t="s">
        <v>574</v>
      </c>
      <c r="G52" s="2">
        <v>25598</v>
      </c>
      <c r="H52" s="2">
        <v>20478</v>
      </c>
      <c r="I52" s="2"/>
      <c r="J52" s="2">
        <v>20478</v>
      </c>
      <c r="K52" s="2">
        <v>12799</v>
      </c>
      <c r="L52" s="2">
        <v>20478</v>
      </c>
      <c r="M52" s="2">
        <v>20478</v>
      </c>
      <c r="N52" s="2">
        <v>25598</v>
      </c>
      <c r="O52" s="2">
        <f>SUM(G52:N52)</f>
        <v>145907</v>
      </c>
      <c r="P52" s="2">
        <v>146141</v>
      </c>
      <c r="Q52" s="2">
        <f>O52-P52</f>
        <v>-234</v>
      </c>
    </row>
    <row r="53" spans="5:32">
      <c r="E53" s="2" t="s">
        <v>577</v>
      </c>
      <c r="F53" s="2" t="s">
        <v>575</v>
      </c>
      <c r="G53" s="2">
        <v>3</v>
      </c>
      <c r="H53" s="2">
        <v>3</v>
      </c>
      <c r="I53" s="2"/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f>SUM(G53:N53)</f>
        <v>21</v>
      </c>
      <c r="P53" s="2">
        <v>21</v>
      </c>
      <c r="Q53" s="2">
        <f>O53-P53</f>
        <v>0</v>
      </c>
    </row>
    <row r="55" spans="5:32">
      <c r="T55" s="5" t="s">
        <v>580</v>
      </c>
      <c r="V55" s="5" t="s">
        <v>104</v>
      </c>
      <c r="X55" s="5">
        <v>10</v>
      </c>
      <c r="Y55" s="5">
        <v>12</v>
      </c>
      <c r="Z55" s="5">
        <v>12</v>
      </c>
      <c r="AA55" s="5">
        <v>12</v>
      </c>
      <c r="AB55" s="5">
        <v>8</v>
      </c>
      <c r="AC55" s="5">
        <v>12</v>
      </c>
      <c r="AD55" s="5">
        <v>12</v>
      </c>
      <c r="AE55" s="5">
        <v>12</v>
      </c>
      <c r="AF55" s="5">
        <f>SUM(X55:AE55)</f>
        <v>90</v>
      </c>
    </row>
    <row r="56" spans="5:32">
      <c r="T56" s="5" t="s">
        <v>581</v>
      </c>
      <c r="V56" s="5" t="s">
        <v>582</v>
      </c>
      <c r="X56" s="5">
        <v>3</v>
      </c>
      <c r="AA56" s="5"/>
      <c r="AB56" s="5">
        <v>2</v>
      </c>
      <c r="AC56" s="5"/>
      <c r="AD56" s="5"/>
      <c r="AE56" s="5"/>
      <c r="AF56" s="5">
        <f>SUM(X56:AE56)</f>
        <v>5</v>
      </c>
    </row>
    <row r="58" spans="5:32">
      <c r="E58" s="241" t="s">
        <v>584</v>
      </c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3"/>
    </row>
    <row r="59" spans="5:32">
      <c r="E59" s="244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6"/>
    </row>
    <row r="60" spans="5:32">
      <c r="E60" s="2"/>
      <c r="F60" s="2" t="s">
        <v>3</v>
      </c>
      <c r="G60" s="2" t="s">
        <v>571</v>
      </c>
      <c r="H60" s="2" t="s">
        <v>572</v>
      </c>
      <c r="I60" s="2" t="s">
        <v>572</v>
      </c>
      <c r="J60" s="2" t="s">
        <v>3</v>
      </c>
      <c r="K60" s="2" t="s">
        <v>573</v>
      </c>
      <c r="L60" s="2" t="s">
        <v>572</v>
      </c>
      <c r="M60" s="2" t="s">
        <v>572</v>
      </c>
      <c r="N60" s="2" t="s">
        <v>571</v>
      </c>
      <c r="O60" s="2" t="s">
        <v>161</v>
      </c>
      <c r="P60" s="2" t="s">
        <v>576</v>
      </c>
      <c r="Q60" s="2"/>
    </row>
    <row r="61" spans="5:32">
      <c r="E61" s="2" t="s">
        <v>578</v>
      </c>
      <c r="F61" s="2" t="s">
        <v>574</v>
      </c>
      <c r="G61" s="2">
        <v>25598</v>
      </c>
      <c r="H61" s="2">
        <v>20478</v>
      </c>
      <c r="I61" s="2">
        <v>20478</v>
      </c>
      <c r="J61" s="2" t="s">
        <v>3</v>
      </c>
      <c r="K61" s="2">
        <v>12799</v>
      </c>
      <c r="L61" s="2">
        <v>20478</v>
      </c>
      <c r="M61" s="2"/>
      <c r="N61" s="2">
        <v>25598</v>
      </c>
      <c r="O61" s="2">
        <f>SUM(G61:N61)</f>
        <v>125429</v>
      </c>
      <c r="P61" s="2">
        <v>139095</v>
      </c>
      <c r="Q61" s="2">
        <f>O61-P61</f>
        <v>-13666</v>
      </c>
    </row>
    <row r="62" spans="5:32">
      <c r="E62" s="2" t="s">
        <v>577</v>
      </c>
      <c r="F62" s="2" t="s">
        <v>575</v>
      </c>
      <c r="G62" s="2">
        <v>3</v>
      </c>
      <c r="H62" s="2">
        <v>3</v>
      </c>
      <c r="I62" s="2">
        <v>3</v>
      </c>
      <c r="J62" s="2" t="s">
        <v>3</v>
      </c>
      <c r="K62" s="2">
        <v>3</v>
      </c>
      <c r="L62" s="2">
        <v>3</v>
      </c>
      <c r="M62" s="2"/>
      <c r="N62" s="2">
        <v>3</v>
      </c>
      <c r="O62" s="2">
        <f>SUM(G62:N62)</f>
        <v>18</v>
      </c>
      <c r="P62" s="2">
        <v>18</v>
      </c>
      <c r="Q62" s="2">
        <f>O62-P62</f>
        <v>0</v>
      </c>
    </row>
    <row r="64" spans="5:32">
      <c r="E64" s="247" t="s">
        <v>585</v>
      </c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T64" s="5" t="s">
        <v>580</v>
      </c>
      <c r="V64" s="5" t="s">
        <v>104</v>
      </c>
      <c r="X64" s="5">
        <v>10</v>
      </c>
      <c r="Y64" s="5">
        <v>12</v>
      </c>
      <c r="Z64" s="5">
        <v>12</v>
      </c>
      <c r="AA64" s="5" t="s">
        <v>3</v>
      </c>
      <c r="AB64" s="5">
        <v>8</v>
      </c>
      <c r="AC64" s="5">
        <v>12</v>
      </c>
      <c r="AD64" s="5" t="s">
        <v>3</v>
      </c>
      <c r="AE64" s="5">
        <v>12</v>
      </c>
      <c r="AF64" s="5">
        <f>SUM(X64:AE64)</f>
        <v>66</v>
      </c>
    </row>
    <row r="65" spans="5:32"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T65" s="5" t="s">
        <v>581</v>
      </c>
      <c r="V65" s="5" t="s">
        <v>582</v>
      </c>
      <c r="X65" s="5">
        <v>3</v>
      </c>
      <c r="AA65" s="5"/>
      <c r="AB65" s="5">
        <v>2</v>
      </c>
      <c r="AC65" s="5"/>
      <c r="AD65" s="5"/>
      <c r="AE65" s="5"/>
      <c r="AF65" s="5">
        <f>SUM(X65:AE65)</f>
        <v>5</v>
      </c>
    </row>
    <row r="66" spans="5:32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5:32">
      <c r="E67" s="2"/>
      <c r="F67" s="2" t="s">
        <v>3</v>
      </c>
      <c r="G67" s="2" t="s">
        <v>571</v>
      </c>
      <c r="H67" s="2" t="s">
        <v>3</v>
      </c>
      <c r="I67" s="2"/>
      <c r="J67" s="2" t="s">
        <v>572</v>
      </c>
      <c r="K67" s="2" t="s">
        <v>573</v>
      </c>
      <c r="L67" s="2" t="s">
        <v>572</v>
      </c>
      <c r="M67" s="2" t="s">
        <v>572</v>
      </c>
      <c r="N67" s="2" t="s">
        <v>571</v>
      </c>
      <c r="O67" s="2" t="s">
        <v>161</v>
      </c>
      <c r="P67" s="2" t="s">
        <v>576</v>
      </c>
      <c r="Q67" s="2"/>
    </row>
    <row r="68" spans="5:32">
      <c r="E68" s="2" t="s">
        <v>578</v>
      </c>
      <c r="F68" s="2" t="s">
        <v>574</v>
      </c>
      <c r="G68" s="2">
        <v>25598</v>
      </c>
      <c r="H68" s="2" t="s">
        <v>3</v>
      </c>
      <c r="I68" s="2"/>
      <c r="J68" s="2">
        <v>20478</v>
      </c>
      <c r="K68" s="2">
        <v>12799</v>
      </c>
      <c r="L68" s="2">
        <v>20478</v>
      </c>
      <c r="M68" s="2"/>
      <c r="N68" s="2">
        <v>25598</v>
      </c>
      <c r="O68" s="2">
        <f>SUM(G68:N68)</f>
        <v>104951</v>
      </c>
      <c r="P68" s="2">
        <v>139095</v>
      </c>
      <c r="Q68" s="2">
        <f>O68-P68</f>
        <v>-34144</v>
      </c>
    </row>
    <row r="69" spans="5:32">
      <c r="E69" s="2" t="s">
        <v>577</v>
      </c>
      <c r="F69" s="2" t="s">
        <v>575</v>
      </c>
      <c r="G69" s="2">
        <v>3</v>
      </c>
      <c r="H69" s="2" t="s">
        <v>3</v>
      </c>
      <c r="I69" s="2"/>
      <c r="J69" s="2">
        <v>3</v>
      </c>
      <c r="K69" s="2">
        <v>3</v>
      </c>
      <c r="L69" s="2">
        <v>3</v>
      </c>
      <c r="M69" s="2"/>
      <c r="N69" s="2">
        <v>3</v>
      </c>
      <c r="O69" s="2">
        <f>SUM(G69:N69)</f>
        <v>15</v>
      </c>
      <c r="P69" s="2">
        <v>15</v>
      </c>
      <c r="Q69" s="2">
        <f>O69-P69</f>
        <v>0</v>
      </c>
    </row>
    <row r="70" spans="5:32">
      <c r="O70" s="134" t="s">
        <v>3</v>
      </c>
    </row>
    <row r="71" spans="5:32">
      <c r="E71" s="248" t="s">
        <v>589</v>
      </c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3"/>
      <c r="S71" s="134" t="s">
        <v>3</v>
      </c>
      <c r="T71" s="134" t="s">
        <v>3</v>
      </c>
      <c r="U71" s="134" t="s">
        <v>3</v>
      </c>
    </row>
    <row r="72" spans="5:32">
      <c r="E72" s="244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6"/>
    </row>
    <row r="73" spans="5:32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5:32">
      <c r="E74" s="2"/>
      <c r="F74" s="2" t="s">
        <v>3</v>
      </c>
      <c r="G74" s="2" t="s">
        <v>571</v>
      </c>
      <c r="H74" s="2" t="s">
        <v>3</v>
      </c>
      <c r="I74" s="2"/>
      <c r="J74" s="2" t="s">
        <v>572</v>
      </c>
      <c r="K74" s="135" t="s">
        <v>572</v>
      </c>
      <c r="L74" s="2" t="s">
        <v>572</v>
      </c>
      <c r="M74" s="2" t="s">
        <v>572</v>
      </c>
      <c r="N74" s="2" t="s">
        <v>571</v>
      </c>
      <c r="O74" s="2" t="s">
        <v>161</v>
      </c>
      <c r="P74" s="2" t="s">
        <v>576</v>
      </c>
      <c r="Q74" s="2"/>
      <c r="T74" s="5" t="s">
        <v>580</v>
      </c>
      <c r="V74" s="5" t="s">
        <v>104</v>
      </c>
      <c r="X74" s="5">
        <v>10</v>
      </c>
      <c r="Y74" s="5" t="s">
        <v>3</v>
      </c>
      <c r="Z74" s="5" t="s">
        <v>3</v>
      </c>
      <c r="AA74" s="5">
        <v>12</v>
      </c>
      <c r="AB74" s="5">
        <v>8</v>
      </c>
      <c r="AC74" s="5">
        <v>12</v>
      </c>
      <c r="AD74" s="5" t="s">
        <v>3</v>
      </c>
      <c r="AE74" s="5">
        <v>12</v>
      </c>
      <c r="AF74" s="5">
        <f>SUM(X74:AE74)</f>
        <v>54</v>
      </c>
    </row>
    <row r="75" spans="5:32">
      <c r="E75" s="2" t="s">
        <v>578</v>
      </c>
      <c r="F75" s="2" t="s">
        <v>574</v>
      </c>
      <c r="G75" s="2">
        <v>25598</v>
      </c>
      <c r="H75" s="2" t="s">
        <v>3</v>
      </c>
      <c r="I75" s="2"/>
      <c r="J75" s="2">
        <v>20478</v>
      </c>
      <c r="K75" s="2">
        <v>20478</v>
      </c>
      <c r="L75" s="2">
        <v>20478</v>
      </c>
      <c r="M75" s="2"/>
      <c r="N75" s="2">
        <v>25598</v>
      </c>
      <c r="O75" s="2">
        <f>SUM(G75:N75)</f>
        <v>112630</v>
      </c>
      <c r="P75" s="2">
        <v>139095</v>
      </c>
      <c r="Q75" s="2">
        <f>O75-P75</f>
        <v>-26465</v>
      </c>
      <c r="T75" s="5" t="s">
        <v>581</v>
      </c>
      <c r="V75" s="5" t="s">
        <v>582</v>
      </c>
      <c r="X75" s="5">
        <v>3</v>
      </c>
      <c r="AA75" s="5"/>
      <c r="AB75" s="5">
        <v>2</v>
      </c>
      <c r="AC75" s="5"/>
      <c r="AD75" s="5"/>
      <c r="AE75" s="5"/>
      <c r="AF75" s="5">
        <f>SUM(X75:AE75)</f>
        <v>5</v>
      </c>
    </row>
    <row r="76" spans="5:32">
      <c r="E76" s="2" t="s">
        <v>577</v>
      </c>
      <c r="F76" s="2" t="s">
        <v>575</v>
      </c>
      <c r="G76" s="2">
        <v>3</v>
      </c>
      <c r="H76" s="2" t="s">
        <v>3</v>
      </c>
      <c r="I76" s="2"/>
      <c r="J76" s="2">
        <v>3</v>
      </c>
      <c r="K76" s="2">
        <v>3</v>
      </c>
      <c r="L76" s="2">
        <v>3</v>
      </c>
      <c r="M76" s="2"/>
      <c r="N76" s="2">
        <v>3</v>
      </c>
      <c r="O76" s="2">
        <f>SUM(G76:N76)</f>
        <v>15</v>
      </c>
      <c r="P76" s="2">
        <v>15</v>
      </c>
      <c r="Q76" s="2">
        <f>O76-P76</f>
        <v>0</v>
      </c>
    </row>
    <row r="77" spans="5:32">
      <c r="E77" s="240" t="s">
        <v>586</v>
      </c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</row>
    <row r="78" spans="5:32"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</row>
    <row r="79" spans="5:32">
      <c r="E79" s="2"/>
      <c r="F79" s="2" t="s">
        <v>3</v>
      </c>
      <c r="G79" s="2" t="s">
        <v>571</v>
      </c>
      <c r="H79" s="2" t="s">
        <v>3</v>
      </c>
      <c r="I79" s="2"/>
      <c r="J79" s="2" t="s">
        <v>572</v>
      </c>
      <c r="K79" s="2" t="s">
        <v>3</v>
      </c>
      <c r="L79" s="2" t="s">
        <v>572</v>
      </c>
      <c r="M79" s="2" t="s">
        <v>572</v>
      </c>
      <c r="N79" s="2" t="s">
        <v>571</v>
      </c>
      <c r="O79" s="2" t="s">
        <v>161</v>
      </c>
      <c r="P79" s="2" t="s">
        <v>576</v>
      </c>
      <c r="Q79" s="2"/>
    </row>
    <row r="80" spans="5:32">
      <c r="E80" s="2" t="s">
        <v>578</v>
      </c>
      <c r="F80" s="2" t="s">
        <v>574</v>
      </c>
      <c r="G80" s="2">
        <v>25598</v>
      </c>
      <c r="H80" s="2" t="s">
        <v>3</v>
      </c>
      <c r="I80" s="2"/>
      <c r="J80" s="2">
        <v>20478</v>
      </c>
      <c r="K80" s="2" t="s">
        <v>3</v>
      </c>
      <c r="L80" s="2">
        <v>20478</v>
      </c>
      <c r="M80" s="2"/>
      <c r="N80" s="2">
        <v>25598</v>
      </c>
      <c r="O80" s="2">
        <f>SUM(G80:N80)</f>
        <v>92152</v>
      </c>
      <c r="P80" s="2">
        <v>84293</v>
      </c>
      <c r="Q80" s="2">
        <f>O80-P80</f>
        <v>7859</v>
      </c>
    </row>
    <row r="81" spans="5:32">
      <c r="E81" s="2" t="s">
        <v>577</v>
      </c>
      <c r="F81" s="2" t="s">
        <v>575</v>
      </c>
      <c r="G81" s="2">
        <v>3</v>
      </c>
      <c r="H81" s="2" t="s">
        <v>3</v>
      </c>
      <c r="I81" s="2"/>
      <c r="J81" s="2">
        <v>3</v>
      </c>
      <c r="K81" s="2" t="s">
        <v>3</v>
      </c>
      <c r="L81" s="2">
        <v>3</v>
      </c>
      <c r="M81" s="2"/>
      <c r="N81" s="2">
        <v>3</v>
      </c>
      <c r="O81" s="2">
        <f>SUM(G81:N81)</f>
        <v>12</v>
      </c>
      <c r="P81" s="2">
        <v>12</v>
      </c>
      <c r="Q81" s="2">
        <f>O81-P81</f>
        <v>0</v>
      </c>
    </row>
    <row r="83" spans="5:32">
      <c r="E83" s="241" t="s">
        <v>587</v>
      </c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3"/>
      <c r="T83" s="5" t="s">
        <v>580</v>
      </c>
      <c r="V83" s="5" t="s">
        <v>104</v>
      </c>
      <c r="X83" s="5">
        <v>10</v>
      </c>
      <c r="Y83" s="5" t="s">
        <v>3</v>
      </c>
      <c r="Z83" s="5" t="s">
        <v>3</v>
      </c>
      <c r="AA83" s="5">
        <v>12</v>
      </c>
      <c r="AB83" s="5" t="s">
        <v>3</v>
      </c>
      <c r="AC83" s="5">
        <v>12</v>
      </c>
      <c r="AD83" s="5" t="s">
        <v>3</v>
      </c>
      <c r="AE83" s="5">
        <v>12</v>
      </c>
      <c r="AF83" s="5">
        <f>SUM(X83:AE83)</f>
        <v>46</v>
      </c>
    </row>
    <row r="84" spans="5:32">
      <c r="E84" s="244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6"/>
      <c r="T84" s="5" t="s">
        <v>581</v>
      </c>
      <c r="V84" s="5" t="s">
        <v>582</v>
      </c>
      <c r="X84" s="5">
        <v>3</v>
      </c>
      <c r="AA84" s="5"/>
      <c r="AB84" s="5" t="s">
        <v>3</v>
      </c>
      <c r="AC84" s="5"/>
      <c r="AD84" s="5"/>
      <c r="AE84" s="5"/>
      <c r="AF84" s="5">
        <f>SUM(X84:AE84)</f>
        <v>3</v>
      </c>
    </row>
    <row r="85" spans="5:32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5:32">
      <c r="E86" s="2"/>
      <c r="F86" s="2" t="s">
        <v>3</v>
      </c>
      <c r="G86" s="2" t="s">
        <v>571</v>
      </c>
      <c r="H86" s="2" t="s">
        <v>3</v>
      </c>
      <c r="I86" s="2"/>
      <c r="J86" s="2" t="s">
        <v>3</v>
      </c>
      <c r="K86" s="2" t="s">
        <v>3</v>
      </c>
      <c r="L86" s="2" t="s">
        <v>572</v>
      </c>
      <c r="M86" s="2" t="s">
        <v>572</v>
      </c>
      <c r="N86" s="2" t="s">
        <v>571</v>
      </c>
      <c r="O86" s="2" t="s">
        <v>161</v>
      </c>
      <c r="P86" s="2" t="s">
        <v>576</v>
      </c>
      <c r="Q86" s="2"/>
    </row>
    <row r="87" spans="5:32">
      <c r="E87" s="2" t="s">
        <v>578</v>
      </c>
      <c r="F87" s="2" t="s">
        <v>574</v>
      </c>
      <c r="G87" s="2">
        <v>25598</v>
      </c>
      <c r="H87" s="2" t="s">
        <v>3</v>
      </c>
      <c r="I87" s="2"/>
      <c r="J87" s="2" t="s">
        <v>3</v>
      </c>
      <c r="K87" s="2" t="s">
        <v>3</v>
      </c>
      <c r="L87" s="2">
        <v>20478</v>
      </c>
      <c r="M87" s="2"/>
      <c r="N87" s="2">
        <v>25598</v>
      </c>
      <c r="O87" s="2">
        <f>SUM(G87:N87)</f>
        <v>71674</v>
      </c>
      <c r="P87" s="2">
        <v>72290</v>
      </c>
      <c r="Q87" s="2">
        <f>O87-P87</f>
        <v>-616</v>
      </c>
    </row>
    <row r="88" spans="5:32">
      <c r="E88" s="2" t="s">
        <v>577</v>
      </c>
      <c r="F88" s="2" t="s">
        <v>575</v>
      </c>
      <c r="G88" s="2">
        <v>3</v>
      </c>
      <c r="H88" s="2" t="s">
        <v>3</v>
      </c>
      <c r="I88" s="2"/>
      <c r="J88" s="2" t="s">
        <v>3</v>
      </c>
      <c r="K88" s="2" t="s">
        <v>3</v>
      </c>
      <c r="L88" s="2">
        <v>3</v>
      </c>
      <c r="M88" s="2"/>
      <c r="N88" s="2">
        <v>3</v>
      </c>
      <c r="O88" s="2">
        <f>SUM(G88:N88)</f>
        <v>9</v>
      </c>
      <c r="P88" s="2">
        <v>9</v>
      </c>
      <c r="Q88" s="2">
        <f>O88-P88</f>
        <v>0</v>
      </c>
    </row>
    <row r="91" spans="5:32">
      <c r="E91" s="240" t="s">
        <v>588</v>
      </c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</row>
    <row r="92" spans="5:32"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T92" s="5" t="s">
        <v>580</v>
      </c>
      <c r="V92" s="5" t="s">
        <v>104</v>
      </c>
      <c r="X92" s="5">
        <v>10</v>
      </c>
      <c r="Y92" s="5" t="s">
        <v>3</v>
      </c>
      <c r="Z92" s="5" t="s">
        <v>3</v>
      </c>
      <c r="AA92" s="5" t="s">
        <v>3</v>
      </c>
      <c r="AB92" s="5" t="s">
        <v>3</v>
      </c>
      <c r="AC92" s="5">
        <v>12</v>
      </c>
      <c r="AD92" s="5" t="s">
        <v>3</v>
      </c>
      <c r="AE92" s="5">
        <v>12</v>
      </c>
      <c r="AF92" s="5">
        <f>SUM(X92:AE92)</f>
        <v>34</v>
      </c>
    </row>
    <row r="93" spans="5:32">
      <c r="E93" s="2"/>
      <c r="F93" s="2" t="s">
        <v>3</v>
      </c>
      <c r="G93" s="2" t="s">
        <v>571</v>
      </c>
      <c r="H93" s="2" t="s">
        <v>3</v>
      </c>
      <c r="I93" s="2"/>
      <c r="J93" s="2" t="s">
        <v>3</v>
      </c>
      <c r="K93" s="2" t="s">
        <v>3</v>
      </c>
      <c r="L93" s="2" t="s">
        <v>3</v>
      </c>
      <c r="M93" s="2" t="s">
        <v>572</v>
      </c>
      <c r="N93" s="2" t="s">
        <v>571</v>
      </c>
      <c r="O93" s="2" t="s">
        <v>161</v>
      </c>
      <c r="P93" s="2" t="s">
        <v>576</v>
      </c>
      <c r="Q93" s="2"/>
      <c r="T93" s="5" t="s">
        <v>581</v>
      </c>
      <c r="V93" s="5" t="s">
        <v>582</v>
      </c>
      <c r="X93" s="5">
        <v>3</v>
      </c>
      <c r="AA93" s="5"/>
      <c r="AB93" s="5" t="s">
        <v>3</v>
      </c>
      <c r="AC93" s="5"/>
      <c r="AD93" s="5"/>
      <c r="AE93" s="5"/>
      <c r="AF93" s="5">
        <f>SUM(X93:AE93)</f>
        <v>3</v>
      </c>
    </row>
    <row r="94" spans="5:32">
      <c r="E94" s="2" t="s">
        <v>578</v>
      </c>
      <c r="F94" s="2" t="s">
        <v>574</v>
      </c>
      <c r="G94" s="2">
        <v>25598</v>
      </c>
      <c r="H94" s="2" t="s">
        <v>3</v>
      </c>
      <c r="I94" s="2"/>
      <c r="J94" s="2" t="s">
        <v>3</v>
      </c>
      <c r="K94" s="2" t="s">
        <v>3</v>
      </c>
      <c r="L94" s="2" t="s">
        <v>3</v>
      </c>
      <c r="M94" s="2"/>
      <c r="N94" s="2">
        <v>25598</v>
      </c>
      <c r="O94" s="2">
        <f>SUM(G94:N94)</f>
        <v>51196</v>
      </c>
      <c r="P94" s="2">
        <v>54698</v>
      </c>
      <c r="Q94" s="2">
        <f>O94-P94</f>
        <v>-3502</v>
      </c>
    </row>
    <row r="95" spans="5:32">
      <c r="E95" s="2" t="s">
        <v>577</v>
      </c>
      <c r="F95" s="2" t="s">
        <v>575</v>
      </c>
      <c r="G95" s="2">
        <v>3</v>
      </c>
      <c r="H95" s="2" t="s">
        <v>3</v>
      </c>
      <c r="I95" s="2"/>
      <c r="J95" s="2" t="s">
        <v>3</v>
      </c>
      <c r="K95" s="2" t="s">
        <v>3</v>
      </c>
      <c r="L95" s="2" t="s">
        <v>3</v>
      </c>
      <c r="M95" s="2"/>
      <c r="N95" s="2">
        <v>3</v>
      </c>
      <c r="O95" s="2">
        <f>SUM(G95:N95)</f>
        <v>6</v>
      </c>
      <c r="P95" s="2">
        <v>6</v>
      </c>
      <c r="Q95" s="2">
        <f>O95-P95</f>
        <v>0</v>
      </c>
    </row>
    <row r="100" spans="10:32">
      <c r="J100" s="5" t="s">
        <v>3</v>
      </c>
    </row>
    <row r="101" spans="10:32">
      <c r="T101" s="5" t="s">
        <v>580</v>
      </c>
      <c r="V101" s="5" t="s">
        <v>104</v>
      </c>
      <c r="X101" s="5">
        <v>10</v>
      </c>
      <c r="Y101" s="5" t="s">
        <v>3</v>
      </c>
      <c r="Z101" s="5" t="s">
        <v>3</v>
      </c>
      <c r="AA101" s="5" t="s">
        <v>3</v>
      </c>
      <c r="AB101" s="5" t="s">
        <v>3</v>
      </c>
      <c r="AC101" s="5" t="s">
        <v>3</v>
      </c>
      <c r="AD101" s="5" t="s">
        <v>3</v>
      </c>
      <c r="AE101" s="5">
        <v>12</v>
      </c>
      <c r="AF101" s="5">
        <f>SUM(X101:AE101)</f>
        <v>22</v>
      </c>
    </row>
    <row r="102" spans="10:32">
      <c r="T102" s="5" t="s">
        <v>581</v>
      </c>
      <c r="V102" s="5" t="s">
        <v>582</v>
      </c>
      <c r="X102" s="5">
        <v>3</v>
      </c>
      <c r="AA102" s="5"/>
      <c r="AB102" s="5" t="s">
        <v>3</v>
      </c>
      <c r="AC102" s="5"/>
      <c r="AD102" s="5"/>
      <c r="AE102" s="5"/>
      <c r="AF102" s="5">
        <f>SUM(X102:AE102)</f>
        <v>3</v>
      </c>
    </row>
  </sheetData>
  <mergeCells count="9">
    <mergeCell ref="E91:Q92"/>
    <mergeCell ref="E42:Q43"/>
    <mergeCell ref="R41:U41"/>
    <mergeCell ref="E49:Q50"/>
    <mergeCell ref="E58:Q59"/>
    <mergeCell ref="E77:Q78"/>
    <mergeCell ref="E64:Q65"/>
    <mergeCell ref="E71:Q72"/>
    <mergeCell ref="E83:Q84"/>
  </mergeCells>
  <phoneticPr fontId="2" type="noConversion"/>
  <pageMargins left="0.46" right="0.4" top="1" bottom="1" header="0.5" footer="0.5"/>
  <pageSetup scale="4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E32:E33"/>
  <sheetViews>
    <sheetView workbookViewId="0">
      <selection activeCell="H48" sqref="H48"/>
    </sheetView>
  </sheetViews>
  <sheetFormatPr defaultRowHeight="12.75"/>
  <sheetData>
    <row r="32" spans="5:5">
      <c r="E32" t="s">
        <v>3</v>
      </c>
    </row>
    <row r="33" spans="5:5">
      <c r="E33" t="s">
        <v>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C114"/>
  <sheetViews>
    <sheetView topLeftCell="I1" zoomScale="93" zoomScaleNormal="93" workbookViewId="0">
      <selection activeCell="N18" sqref="N18"/>
    </sheetView>
  </sheetViews>
  <sheetFormatPr defaultRowHeight="12.75"/>
  <cols>
    <col min="1" max="1" width="1.7109375" customWidth="1"/>
    <col min="2" max="2" width="8" style="5" bestFit="1" customWidth="1"/>
    <col min="3" max="3" width="30.140625" bestFit="1" customWidth="1"/>
    <col min="4" max="4" width="13" style="5" bestFit="1" customWidth="1"/>
    <col min="5" max="5" width="6" style="5" bestFit="1" customWidth="1"/>
    <col min="6" max="6" width="11.85546875" style="5" customWidth="1"/>
    <col min="7" max="7" width="10.7109375" style="5" bestFit="1" customWidth="1"/>
    <col min="8" max="8" width="9.140625" style="5"/>
    <col min="9" max="9" width="14.28515625" style="5" customWidth="1"/>
    <col min="10" max="10" width="13.5703125" style="5" customWidth="1"/>
    <col min="11" max="12" width="9.140625" style="5"/>
    <col min="13" max="13" width="11.28515625" customWidth="1"/>
    <col min="14" max="14" width="10.28515625" bestFit="1" customWidth="1"/>
    <col min="15" max="15" width="10.28515625" customWidth="1"/>
    <col min="16" max="16" width="10.5703125" bestFit="1" customWidth="1"/>
    <col min="18" max="18" width="13" bestFit="1" customWidth="1"/>
    <col min="19" max="19" width="23.28515625" customWidth="1"/>
    <col min="20" max="20" width="8" style="5" bestFit="1" customWidth="1"/>
    <col min="25" max="25" width="23.140625" bestFit="1" customWidth="1"/>
    <col min="26" max="26" width="11.42578125" bestFit="1" customWidth="1"/>
    <col min="29" max="29" width="36.42578125" customWidth="1"/>
  </cols>
  <sheetData>
    <row r="2" spans="1:26">
      <c r="B2" s="107"/>
      <c r="C2" s="3"/>
      <c r="D2" s="107"/>
      <c r="E2" s="107"/>
      <c r="F2" s="107"/>
      <c r="G2" s="107"/>
      <c r="H2" s="107"/>
      <c r="I2" s="107"/>
      <c r="J2" s="107"/>
      <c r="K2" s="107"/>
      <c r="L2" s="107"/>
      <c r="M2" s="3"/>
      <c r="N2" s="3"/>
      <c r="O2" s="3"/>
      <c r="P2" s="3"/>
      <c r="Q2" s="3"/>
      <c r="R2" s="3"/>
      <c r="S2" s="3"/>
      <c r="T2" s="107"/>
      <c r="V2" s="30"/>
      <c r="X2" s="2" t="s">
        <v>113</v>
      </c>
      <c r="Y2" s="2" t="s">
        <v>117</v>
      </c>
      <c r="Z2" s="1" t="s">
        <v>114</v>
      </c>
    </row>
    <row r="3" spans="1:26">
      <c r="B3" s="107"/>
      <c r="C3" s="3"/>
      <c r="D3" s="107"/>
      <c r="E3" s="107"/>
      <c r="F3" s="107" t="s">
        <v>487</v>
      </c>
      <c r="G3" s="107"/>
      <c r="H3" s="107"/>
      <c r="I3" s="107"/>
      <c r="J3" s="107"/>
      <c r="K3" s="107"/>
      <c r="L3" s="107"/>
      <c r="M3" s="3"/>
      <c r="N3" s="3"/>
      <c r="O3" s="3"/>
      <c r="P3" s="3"/>
      <c r="Q3" s="3"/>
      <c r="R3" s="3"/>
      <c r="S3" s="3"/>
      <c r="T3" s="107"/>
      <c r="V3" s="30"/>
      <c r="X3" s="2">
        <v>1.5</v>
      </c>
      <c r="Y3" s="1" t="s">
        <v>103</v>
      </c>
      <c r="Z3" s="1">
        <f>X3*D13</f>
        <v>180</v>
      </c>
    </row>
    <row r="4" spans="1:26">
      <c r="B4" s="107"/>
      <c r="C4" s="3"/>
      <c r="D4" s="107"/>
      <c r="E4" s="107"/>
      <c r="F4" s="107"/>
      <c r="G4" s="107"/>
      <c r="H4" s="107"/>
      <c r="I4" s="107"/>
      <c r="J4" s="107"/>
      <c r="K4" s="107"/>
      <c r="L4" s="107"/>
      <c r="M4" s="3"/>
      <c r="N4" s="3"/>
      <c r="O4" s="3"/>
      <c r="P4" s="3"/>
      <c r="Q4" s="3"/>
      <c r="R4" s="3"/>
      <c r="S4" s="3"/>
      <c r="T4" s="107"/>
      <c r="V4" s="30" t="s">
        <v>166</v>
      </c>
      <c r="W4" s="43" t="s">
        <v>169</v>
      </c>
      <c r="X4" s="2">
        <f>Z4/D13</f>
        <v>0.76666666666666672</v>
      </c>
      <c r="Y4" s="1" t="s">
        <v>177</v>
      </c>
      <c r="Z4" s="1">
        <v>92</v>
      </c>
    </row>
    <row r="5" spans="1:26">
      <c r="B5" s="107"/>
      <c r="C5" s="3"/>
      <c r="D5" s="107"/>
      <c r="E5" s="107"/>
      <c r="F5" s="107"/>
      <c r="G5" s="107"/>
      <c r="H5" s="107"/>
      <c r="I5" s="107"/>
      <c r="J5" s="107"/>
      <c r="K5" s="107"/>
      <c r="L5" s="107"/>
      <c r="M5" s="3"/>
      <c r="N5" s="3"/>
      <c r="O5" s="3"/>
      <c r="P5" s="3"/>
      <c r="Q5" s="3"/>
      <c r="R5" s="3"/>
      <c r="S5" s="3"/>
      <c r="T5" s="107"/>
      <c r="V5" s="30"/>
      <c r="W5" s="43"/>
      <c r="X5" s="2">
        <f>Z5/D13</f>
        <v>0.48333333333333334</v>
      </c>
      <c r="Y5" s="1" t="s">
        <v>595</v>
      </c>
      <c r="Z5" s="1">
        <v>58</v>
      </c>
    </row>
    <row r="6" spans="1:26">
      <c r="B6" s="107"/>
      <c r="C6" s="3"/>
      <c r="D6" s="107"/>
      <c r="E6" s="107"/>
      <c r="F6" s="107"/>
      <c r="G6" s="107"/>
      <c r="H6" s="107"/>
      <c r="I6" s="107"/>
      <c r="J6" s="107"/>
      <c r="K6" s="107"/>
      <c r="L6" s="107"/>
      <c r="M6" s="3"/>
      <c r="N6" s="3"/>
      <c r="O6" s="3"/>
      <c r="P6" s="3"/>
      <c r="Q6" s="3"/>
      <c r="R6" s="3"/>
      <c r="S6" s="3"/>
      <c r="T6" s="107"/>
      <c r="V6" s="34" t="s">
        <v>3</v>
      </c>
      <c r="W6" t="s">
        <v>3</v>
      </c>
      <c r="X6" s="2">
        <v>0.8</v>
      </c>
      <c r="Y6" s="1" t="s">
        <v>115</v>
      </c>
      <c r="Z6" s="1">
        <f>X6*D13</f>
        <v>96</v>
      </c>
    </row>
    <row r="7" spans="1:26" ht="13.5" thickBot="1">
      <c r="B7" s="107"/>
      <c r="C7" s="3"/>
      <c r="D7" s="107"/>
      <c r="E7" s="107"/>
      <c r="F7" s="107"/>
      <c r="G7" s="107"/>
      <c r="H7" s="107"/>
      <c r="I7" s="107"/>
      <c r="J7" s="107"/>
      <c r="K7" s="107"/>
      <c r="L7" s="107"/>
      <c r="M7" s="3"/>
      <c r="N7" s="3"/>
      <c r="O7" s="3"/>
      <c r="P7" s="3"/>
      <c r="Q7" s="3"/>
      <c r="R7" s="3"/>
      <c r="S7" s="3"/>
      <c r="T7" s="107"/>
      <c r="V7" s="30" t="s">
        <v>166</v>
      </c>
      <c r="W7" s="41" t="s">
        <v>169</v>
      </c>
      <c r="X7" s="2">
        <v>0.31</v>
      </c>
      <c r="Y7" s="42" t="s">
        <v>178</v>
      </c>
      <c r="Z7" s="1">
        <v>38</v>
      </c>
    </row>
    <row r="8" spans="1:26">
      <c r="B8" s="253" t="s">
        <v>596</v>
      </c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5"/>
      <c r="X8" s="2">
        <f>Z8/120</f>
        <v>3.3333333333333333E-2</v>
      </c>
      <c r="Y8" s="1" t="s">
        <v>116</v>
      </c>
      <c r="Z8" s="1">
        <v>4</v>
      </c>
    </row>
    <row r="9" spans="1:26">
      <c r="B9" s="256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8"/>
      <c r="X9" s="2">
        <f>Z9/120</f>
        <v>0.10833333333333334</v>
      </c>
      <c r="Y9" s="1" t="s">
        <v>118</v>
      </c>
      <c r="Z9" s="1">
        <v>13</v>
      </c>
    </row>
    <row r="10" spans="1:26">
      <c r="B10" s="256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8"/>
      <c r="X10" s="2">
        <v>22.9</v>
      </c>
      <c r="Y10" s="1" t="s">
        <v>102</v>
      </c>
      <c r="Z10" s="1">
        <f>X10*D13</f>
        <v>2748</v>
      </c>
    </row>
    <row r="11" spans="1:26" ht="13.5" thickBot="1">
      <c r="B11" s="256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8"/>
      <c r="X11" s="2">
        <v>47</v>
      </c>
      <c r="Y11" s="1" t="s">
        <v>137</v>
      </c>
      <c r="Z11" s="1">
        <f>X11*D13</f>
        <v>5640</v>
      </c>
    </row>
    <row r="12" spans="1:26" ht="18.75" customHeight="1">
      <c r="A12" s="23"/>
      <c r="B12" s="109"/>
      <c r="C12" s="110"/>
      <c r="D12" s="259" t="s">
        <v>280</v>
      </c>
      <c r="E12" s="259"/>
      <c r="F12" s="259" t="s">
        <v>285</v>
      </c>
      <c r="G12" s="259"/>
      <c r="H12" s="111"/>
      <c r="I12" s="112" t="s">
        <v>107</v>
      </c>
      <c r="J12" s="111" t="s">
        <v>291</v>
      </c>
      <c r="K12" s="111"/>
      <c r="L12" s="111"/>
      <c r="M12" s="110" t="s">
        <v>293</v>
      </c>
      <c r="N12" s="110"/>
      <c r="O12" s="110"/>
      <c r="P12" s="110"/>
      <c r="Q12" s="110"/>
      <c r="R12" s="110"/>
      <c r="S12" s="110"/>
      <c r="T12" s="113"/>
      <c r="X12" s="2"/>
      <c r="Y12" s="1"/>
      <c r="Z12" s="1">
        <f>X12*120</f>
        <v>0</v>
      </c>
    </row>
    <row r="13" spans="1:26" ht="10.5" customHeight="1">
      <c r="B13" s="114"/>
      <c r="C13" s="115"/>
      <c r="D13" s="85">
        <v>120</v>
      </c>
      <c r="E13" s="85">
        <v>240</v>
      </c>
      <c r="F13" s="251">
        <v>1</v>
      </c>
      <c r="G13" s="251"/>
      <c r="H13" s="116"/>
      <c r="I13" s="85">
        <v>100</v>
      </c>
      <c r="J13" s="116">
        <v>240</v>
      </c>
      <c r="K13" s="116"/>
      <c r="L13" s="116"/>
      <c r="M13" s="115"/>
      <c r="N13" s="115"/>
      <c r="O13" s="115"/>
      <c r="P13" s="115"/>
      <c r="Q13" s="115"/>
      <c r="R13" s="115"/>
      <c r="S13" s="115"/>
      <c r="T13" s="117"/>
      <c r="V13" t="s">
        <v>3</v>
      </c>
      <c r="X13" s="2"/>
      <c r="Y13" s="1"/>
      <c r="Z13" s="1">
        <f>X13*120</f>
        <v>0</v>
      </c>
    </row>
    <row r="14" spans="1:26">
      <c r="B14" s="252" t="s">
        <v>276</v>
      </c>
      <c r="C14" s="249" t="s">
        <v>168</v>
      </c>
      <c r="D14" s="249" t="s">
        <v>107</v>
      </c>
      <c r="E14" s="249" t="s">
        <v>273</v>
      </c>
      <c r="F14" s="251" t="s">
        <v>274</v>
      </c>
      <c r="G14" s="251"/>
      <c r="H14" s="251"/>
      <c r="I14" s="251"/>
      <c r="J14" s="249" t="s">
        <v>275</v>
      </c>
      <c r="K14" s="249"/>
      <c r="L14" s="249"/>
      <c r="M14" s="251" t="s">
        <v>274</v>
      </c>
      <c r="N14" s="251"/>
      <c r="O14" s="251"/>
      <c r="P14" s="251"/>
      <c r="Q14" s="249" t="s">
        <v>273</v>
      </c>
      <c r="R14" s="249" t="s">
        <v>107</v>
      </c>
      <c r="S14" s="249" t="s">
        <v>168</v>
      </c>
      <c r="T14" s="250" t="s">
        <v>276</v>
      </c>
      <c r="X14" s="2"/>
      <c r="Y14" s="1"/>
      <c r="Z14" s="1">
        <f>X14*120</f>
        <v>0</v>
      </c>
    </row>
    <row r="15" spans="1:26">
      <c r="B15" s="252"/>
      <c r="C15" s="249"/>
      <c r="D15" s="249"/>
      <c r="E15" s="249"/>
      <c r="F15" s="85" t="s">
        <v>278</v>
      </c>
      <c r="G15" s="85" t="s">
        <v>279</v>
      </c>
      <c r="H15" s="85" t="s">
        <v>281</v>
      </c>
      <c r="I15" s="85" t="s">
        <v>282</v>
      </c>
      <c r="J15" s="249"/>
      <c r="K15" s="249"/>
      <c r="L15" s="249"/>
      <c r="M15" s="85" t="s">
        <v>278</v>
      </c>
      <c r="N15" s="85" t="s">
        <v>279</v>
      </c>
      <c r="O15" s="85" t="s">
        <v>281</v>
      </c>
      <c r="P15" s="85" t="s">
        <v>282</v>
      </c>
      <c r="Q15" s="249"/>
      <c r="R15" s="249"/>
      <c r="S15" s="249"/>
      <c r="T15" s="250"/>
    </row>
    <row r="16" spans="1:26">
      <c r="B16" s="118">
        <v>6</v>
      </c>
      <c r="C16" s="84" t="s">
        <v>137</v>
      </c>
      <c r="D16" s="85">
        <v>60</v>
      </c>
      <c r="E16" s="119">
        <v>2</v>
      </c>
      <c r="F16" s="128">
        <v>47</v>
      </c>
      <c r="G16" s="120">
        <f>F16*D13</f>
        <v>5640</v>
      </c>
      <c r="H16" s="121" t="s">
        <v>3</v>
      </c>
      <c r="I16" s="121"/>
      <c r="J16" s="85">
        <v>1</v>
      </c>
      <c r="K16" s="85" t="s">
        <v>167</v>
      </c>
      <c r="L16" s="85">
        <v>2</v>
      </c>
      <c r="M16" s="119">
        <v>1.5</v>
      </c>
      <c r="N16" s="85">
        <f>M16*D13</f>
        <v>180</v>
      </c>
      <c r="O16" s="121"/>
      <c r="P16" s="121"/>
      <c r="Q16" s="119">
        <v>1</v>
      </c>
      <c r="R16" s="119">
        <v>20</v>
      </c>
      <c r="S16" s="84" t="s">
        <v>539</v>
      </c>
      <c r="T16" s="122">
        <v>12</v>
      </c>
    </row>
    <row r="17" spans="2:20">
      <c r="B17" s="118">
        <v>6</v>
      </c>
      <c r="C17" s="84" t="s">
        <v>137</v>
      </c>
      <c r="D17" s="85">
        <v>60</v>
      </c>
      <c r="E17" s="119"/>
      <c r="F17" s="121"/>
      <c r="G17" s="121"/>
      <c r="H17" s="120">
        <v>47</v>
      </c>
      <c r="I17" s="120">
        <f>H17*D13</f>
        <v>5640</v>
      </c>
      <c r="J17" s="85">
        <v>3</v>
      </c>
      <c r="K17" s="85" t="s">
        <v>18</v>
      </c>
      <c r="L17" s="85">
        <v>4</v>
      </c>
      <c r="M17" s="123"/>
      <c r="N17" s="106"/>
      <c r="O17" s="120">
        <f>SUM(7*X3)</f>
        <v>10.5</v>
      </c>
      <c r="P17" s="120">
        <f>O17*D13</f>
        <v>1260</v>
      </c>
      <c r="Q17" s="119">
        <v>1</v>
      </c>
      <c r="R17" s="119">
        <v>20</v>
      </c>
      <c r="S17" s="84" t="s">
        <v>266</v>
      </c>
      <c r="T17" s="122">
        <v>12</v>
      </c>
    </row>
    <row r="18" spans="2:20">
      <c r="B18" s="118">
        <v>12</v>
      </c>
      <c r="C18" s="84" t="s">
        <v>266</v>
      </c>
      <c r="D18" s="85">
        <v>20</v>
      </c>
      <c r="E18" s="119" t="s">
        <v>3</v>
      </c>
      <c r="F18" s="120">
        <f>SUM(7*X3)</f>
        <v>10.5</v>
      </c>
      <c r="G18" s="120">
        <f>F18*D13</f>
        <v>1260</v>
      </c>
      <c r="H18" s="121"/>
      <c r="I18" s="121"/>
      <c r="J18" s="85">
        <v>5</v>
      </c>
      <c r="K18" s="85" t="s">
        <v>167</v>
      </c>
      <c r="L18" s="85">
        <v>6</v>
      </c>
      <c r="M18" s="124">
        <f>SUM(10*X5+X9+X8)</f>
        <v>4.9749999999999996</v>
      </c>
      <c r="N18" s="119">
        <f>M18*D13</f>
        <v>597</v>
      </c>
      <c r="O18" s="121"/>
      <c r="P18" s="121"/>
      <c r="Q18" s="119">
        <v>1</v>
      </c>
      <c r="R18" s="119">
        <v>20</v>
      </c>
      <c r="S18" s="84" t="s">
        <v>104</v>
      </c>
      <c r="T18" s="122">
        <v>12</v>
      </c>
    </row>
    <row r="19" spans="2:20">
      <c r="B19" s="118">
        <v>12</v>
      </c>
      <c r="C19" s="84" t="s">
        <v>104</v>
      </c>
      <c r="D19" s="85">
        <v>20</v>
      </c>
      <c r="E19" s="119"/>
      <c r="F19" s="121" t="s">
        <v>3</v>
      </c>
      <c r="G19" s="121" t="s">
        <v>3</v>
      </c>
      <c r="H19" s="125">
        <f>SUM(10*X5+X8+X9)</f>
        <v>4.9749999999999996</v>
      </c>
      <c r="I19" s="125">
        <f>H19*D13</f>
        <v>597</v>
      </c>
      <c r="J19" s="85">
        <v>7</v>
      </c>
      <c r="K19" s="85" t="s">
        <v>18</v>
      </c>
      <c r="L19" s="85">
        <v>8</v>
      </c>
      <c r="M19" s="123" t="s">
        <v>3</v>
      </c>
      <c r="N19" s="106" t="s">
        <v>3</v>
      </c>
      <c r="O19" s="125"/>
      <c r="P19" s="125">
        <f>O19*D13</f>
        <v>0</v>
      </c>
      <c r="Q19" s="119"/>
      <c r="R19" s="119"/>
      <c r="S19" s="84"/>
      <c r="T19" s="122"/>
    </row>
    <row r="20" spans="2:20">
      <c r="B20" s="118"/>
      <c r="C20" s="84"/>
      <c r="D20" s="85"/>
      <c r="E20" s="119"/>
      <c r="F20" s="125">
        <v>0</v>
      </c>
      <c r="G20" s="125">
        <f>F20*D13</f>
        <v>0</v>
      </c>
      <c r="H20" s="121"/>
      <c r="I20" s="121" t="s">
        <v>3</v>
      </c>
      <c r="J20" s="85">
        <v>9</v>
      </c>
      <c r="K20" s="85" t="s">
        <v>167</v>
      </c>
      <c r="L20" s="85">
        <v>10</v>
      </c>
      <c r="M20" s="124"/>
      <c r="N20" s="119">
        <f>M20*D13</f>
        <v>0</v>
      </c>
      <c r="O20" s="121"/>
      <c r="P20" s="121" t="s">
        <v>3</v>
      </c>
      <c r="Q20" s="119"/>
      <c r="R20" s="119"/>
      <c r="S20" s="84"/>
      <c r="T20" s="122"/>
    </row>
    <row r="21" spans="2:20">
      <c r="B21" s="107"/>
      <c r="C21" s="3"/>
      <c r="D21" s="107"/>
      <c r="E21" s="107"/>
      <c r="F21" s="107">
        <f>SUM(F16:F20)</f>
        <v>57.5</v>
      </c>
      <c r="G21" s="107">
        <f>SUM(G16:G20)</f>
        <v>6900</v>
      </c>
      <c r="H21" s="107">
        <f>SUM(H16:H20)</f>
        <v>51.975000000000001</v>
      </c>
      <c r="I21" s="107">
        <f>SUM(I16:I20)</f>
        <v>6237</v>
      </c>
      <c r="J21" s="107"/>
      <c r="K21" s="107"/>
      <c r="L21" s="107"/>
      <c r="M21" s="107">
        <f>SUM(M16:M20)</f>
        <v>6.4749999999999996</v>
      </c>
      <c r="N21" s="107">
        <f>SUM(N16:N20)</f>
        <v>777</v>
      </c>
      <c r="O21" s="107">
        <f>SUM(O16:O20)</f>
        <v>10.5</v>
      </c>
      <c r="P21" s="107">
        <f>SUM(P16:P20)</f>
        <v>1260</v>
      </c>
      <c r="Q21" s="3"/>
      <c r="R21" s="3"/>
      <c r="S21" s="3"/>
      <c r="T21" s="107"/>
    </row>
    <row r="22" spans="2:20">
      <c r="B22" s="107"/>
      <c r="C22" s="3"/>
      <c r="D22" s="107"/>
      <c r="E22" s="107"/>
      <c r="F22" s="107"/>
      <c r="G22" s="107"/>
      <c r="H22" s="107"/>
      <c r="I22" s="107"/>
      <c r="J22" s="107"/>
      <c r="K22" s="107"/>
      <c r="L22" s="107"/>
      <c r="M22" s="3"/>
      <c r="N22" s="3"/>
      <c r="O22" s="3"/>
      <c r="P22" s="3"/>
      <c r="Q22" s="3"/>
      <c r="R22" s="3"/>
      <c r="S22" s="3"/>
      <c r="T22" s="107"/>
    </row>
    <row r="23" spans="2:20">
      <c r="B23" s="107"/>
      <c r="C23" s="3"/>
      <c r="D23" s="107"/>
      <c r="E23" s="107"/>
      <c r="F23" s="107"/>
      <c r="G23" s="107"/>
      <c r="H23" s="107"/>
      <c r="I23" s="107"/>
      <c r="J23" s="85" t="s">
        <v>286</v>
      </c>
      <c r="K23" s="85">
        <f>G21+N21</f>
        <v>7677</v>
      </c>
      <c r="L23" s="85" t="s">
        <v>105</v>
      </c>
      <c r="M23" s="126">
        <f>K23/K25</f>
        <v>0.50593119810201659</v>
      </c>
      <c r="N23" s="3"/>
      <c r="O23" s="3"/>
      <c r="P23" s="3"/>
      <c r="Q23" s="3"/>
      <c r="R23" s="3"/>
      <c r="S23" s="3"/>
      <c r="T23" s="107"/>
    </row>
    <row r="24" spans="2:20">
      <c r="B24" s="107"/>
      <c r="C24" s="3"/>
      <c r="D24" s="107"/>
      <c r="E24" s="107"/>
      <c r="F24" s="107"/>
      <c r="G24" s="107"/>
      <c r="H24" s="107"/>
      <c r="I24" s="107"/>
      <c r="J24" s="85" t="s">
        <v>287</v>
      </c>
      <c r="K24" s="85">
        <f>I21+P21</f>
        <v>7497</v>
      </c>
      <c r="L24" s="85" t="s">
        <v>105</v>
      </c>
      <c r="M24" s="126">
        <f>K24/K25</f>
        <v>0.49406880189798341</v>
      </c>
      <c r="N24" s="3"/>
      <c r="O24" s="3"/>
      <c r="P24" s="3"/>
      <c r="Q24" s="3"/>
      <c r="R24" s="3"/>
      <c r="S24" s="3"/>
      <c r="T24" s="107"/>
    </row>
    <row r="25" spans="2:20">
      <c r="B25" s="107"/>
      <c r="C25" s="3"/>
      <c r="D25" s="107"/>
      <c r="E25" s="107"/>
      <c r="F25" s="107"/>
      <c r="G25" s="107"/>
      <c r="H25" s="107"/>
      <c r="I25" s="107"/>
      <c r="J25" s="107"/>
      <c r="K25" s="107">
        <f>SUM(K23:K24)</f>
        <v>15174</v>
      </c>
      <c r="L25" s="107" t="s">
        <v>105</v>
      </c>
      <c r="M25" s="107"/>
      <c r="N25" s="3"/>
      <c r="O25" s="3"/>
      <c r="P25" s="3"/>
      <c r="Q25" s="3"/>
      <c r="R25" s="3"/>
      <c r="S25" s="3"/>
      <c r="T25" s="107"/>
    </row>
    <row r="26" spans="2:20">
      <c r="B26" s="107"/>
      <c r="C26" s="3"/>
      <c r="D26" s="107"/>
      <c r="E26" s="107"/>
      <c r="F26" s="107"/>
      <c r="G26" s="107"/>
      <c r="H26" s="107"/>
      <c r="I26" s="107"/>
      <c r="J26" s="107"/>
      <c r="K26" s="107">
        <f>K25/J13</f>
        <v>63.225000000000001</v>
      </c>
      <c r="L26" s="107" t="s">
        <v>106</v>
      </c>
      <c r="M26" s="107"/>
      <c r="N26" s="3"/>
      <c r="O26" s="3"/>
      <c r="P26" s="3"/>
      <c r="Q26" s="3"/>
      <c r="R26" s="3"/>
      <c r="S26" s="3"/>
      <c r="T26" s="107"/>
    </row>
    <row r="27" spans="2:20">
      <c r="B27" s="107"/>
      <c r="C27" s="3"/>
      <c r="D27" s="107"/>
      <c r="E27" s="107"/>
      <c r="F27" s="107"/>
      <c r="G27" s="107"/>
      <c r="H27" s="107"/>
      <c r="I27" s="107"/>
      <c r="J27" s="107"/>
      <c r="K27" s="107">
        <f>K26/0.8</f>
        <v>79.03125</v>
      </c>
      <c r="L27" s="127">
        <v>0.2</v>
      </c>
      <c r="M27" s="107"/>
      <c r="N27" s="3"/>
      <c r="O27" s="3"/>
      <c r="P27" s="3"/>
      <c r="Q27" s="3"/>
      <c r="R27" s="3"/>
      <c r="S27" s="3"/>
      <c r="T27" s="107"/>
    </row>
    <row r="28" spans="2:20">
      <c r="B28" s="107"/>
      <c r="C28" s="3"/>
      <c r="D28" s="107"/>
      <c r="E28" s="107"/>
      <c r="F28" s="107"/>
      <c r="G28" s="107"/>
      <c r="H28" s="107"/>
      <c r="I28" s="107"/>
      <c r="J28" s="107" t="s">
        <v>289</v>
      </c>
      <c r="K28" s="107">
        <f>I13</f>
        <v>100</v>
      </c>
      <c r="L28" s="107" t="s">
        <v>106</v>
      </c>
      <c r="M28" s="107"/>
      <c r="N28" s="3"/>
      <c r="O28" s="3"/>
      <c r="P28" s="3"/>
      <c r="Q28" s="3"/>
      <c r="R28" s="3"/>
      <c r="S28" s="3"/>
      <c r="T28" s="107"/>
    </row>
    <row r="29" spans="2:20">
      <c r="B29" s="107"/>
      <c r="C29" s="3"/>
      <c r="D29" s="107"/>
      <c r="E29" s="107"/>
      <c r="F29" s="107"/>
      <c r="G29" s="107"/>
      <c r="H29" s="107"/>
      <c r="I29" s="107"/>
      <c r="J29" s="107"/>
      <c r="K29" s="107"/>
      <c r="L29" s="107"/>
      <c r="M29" s="3"/>
      <c r="N29" s="3"/>
      <c r="O29" s="3"/>
      <c r="P29" s="3"/>
      <c r="Q29" s="3"/>
      <c r="R29" s="3"/>
      <c r="S29" s="3"/>
      <c r="T29" s="107"/>
    </row>
    <row r="30" spans="2:20" ht="13.5" thickBot="1">
      <c r="B30" s="107"/>
      <c r="C30" s="3"/>
      <c r="D30" s="107"/>
      <c r="E30" s="107"/>
      <c r="F30" s="107"/>
      <c r="G30" s="107"/>
      <c r="H30" s="107"/>
      <c r="I30" s="107"/>
      <c r="J30" s="107"/>
      <c r="K30" s="107"/>
      <c r="L30" s="107"/>
      <c r="M30" s="3"/>
      <c r="N30" s="3"/>
      <c r="O30" s="3"/>
      <c r="P30" s="3"/>
      <c r="Q30" s="3"/>
      <c r="R30" s="3"/>
      <c r="S30" s="3"/>
      <c r="T30" s="107"/>
    </row>
    <row r="31" spans="2:20" ht="12.75" customHeight="1">
      <c r="B31" s="253" t="s">
        <v>597</v>
      </c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5"/>
    </row>
    <row r="32" spans="2:20" ht="12.75" customHeight="1">
      <c r="B32" s="256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8"/>
    </row>
    <row r="33" spans="2:20" ht="12.75" customHeight="1">
      <c r="B33" s="256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8"/>
    </row>
    <row r="34" spans="2:20" ht="13.5" customHeight="1" thickBot="1">
      <c r="B34" s="256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8"/>
    </row>
    <row r="35" spans="2:20">
      <c r="B35" s="109"/>
      <c r="C35" s="110"/>
      <c r="D35" s="259" t="s">
        <v>280</v>
      </c>
      <c r="E35" s="259"/>
      <c r="F35" s="259" t="s">
        <v>285</v>
      </c>
      <c r="G35" s="259"/>
      <c r="H35" s="111"/>
      <c r="I35" s="112" t="s">
        <v>107</v>
      </c>
      <c r="J35" s="111" t="s">
        <v>291</v>
      </c>
      <c r="K35" s="111"/>
      <c r="L35" s="111"/>
      <c r="M35" s="110" t="s">
        <v>293</v>
      </c>
      <c r="N35" s="110"/>
      <c r="O35" s="110"/>
      <c r="P35" s="110"/>
      <c r="Q35" s="110"/>
      <c r="R35" s="110"/>
      <c r="S35" s="110"/>
      <c r="T35" s="113"/>
    </row>
    <row r="36" spans="2:20">
      <c r="B36" s="114"/>
      <c r="C36" s="115"/>
      <c r="D36" s="85">
        <v>120</v>
      </c>
      <c r="E36" s="85">
        <v>240</v>
      </c>
      <c r="F36" s="251">
        <v>1</v>
      </c>
      <c r="G36" s="251"/>
      <c r="H36" s="116"/>
      <c r="I36" s="85">
        <v>100</v>
      </c>
      <c r="J36" s="116">
        <v>240</v>
      </c>
      <c r="K36" s="116"/>
      <c r="L36" s="116"/>
      <c r="M36" s="115"/>
      <c r="N36" s="115"/>
      <c r="O36" s="115"/>
      <c r="P36" s="115"/>
      <c r="Q36" s="115"/>
      <c r="R36" s="115"/>
      <c r="S36" s="115"/>
      <c r="T36" s="117"/>
    </row>
    <row r="37" spans="2:20">
      <c r="B37" s="252" t="s">
        <v>276</v>
      </c>
      <c r="C37" s="249" t="s">
        <v>168</v>
      </c>
      <c r="D37" s="249" t="s">
        <v>107</v>
      </c>
      <c r="E37" s="249" t="s">
        <v>273</v>
      </c>
      <c r="F37" s="251" t="s">
        <v>274</v>
      </c>
      <c r="G37" s="251"/>
      <c r="H37" s="251"/>
      <c r="I37" s="251"/>
      <c r="J37" s="249" t="s">
        <v>275</v>
      </c>
      <c r="K37" s="249"/>
      <c r="L37" s="249"/>
      <c r="M37" s="251" t="s">
        <v>274</v>
      </c>
      <c r="N37" s="251"/>
      <c r="O37" s="251"/>
      <c r="P37" s="251"/>
      <c r="Q37" s="249" t="s">
        <v>273</v>
      </c>
      <c r="R37" s="249" t="s">
        <v>107</v>
      </c>
      <c r="S37" s="249" t="s">
        <v>168</v>
      </c>
      <c r="T37" s="250" t="s">
        <v>276</v>
      </c>
    </row>
    <row r="38" spans="2:20">
      <c r="B38" s="252"/>
      <c r="C38" s="249"/>
      <c r="D38" s="249"/>
      <c r="E38" s="249"/>
      <c r="F38" s="85" t="s">
        <v>278</v>
      </c>
      <c r="G38" s="85" t="s">
        <v>279</v>
      </c>
      <c r="H38" s="85" t="s">
        <v>281</v>
      </c>
      <c r="I38" s="85" t="s">
        <v>282</v>
      </c>
      <c r="J38" s="249"/>
      <c r="K38" s="249"/>
      <c r="L38" s="249"/>
      <c r="M38" s="85" t="s">
        <v>278</v>
      </c>
      <c r="N38" s="85" t="s">
        <v>279</v>
      </c>
      <c r="O38" s="85" t="s">
        <v>281</v>
      </c>
      <c r="P38" s="85" t="s">
        <v>282</v>
      </c>
      <c r="Q38" s="249"/>
      <c r="R38" s="249"/>
      <c r="S38" s="249"/>
      <c r="T38" s="250"/>
    </row>
    <row r="39" spans="2:20">
      <c r="B39" s="118">
        <v>6</v>
      </c>
      <c r="C39" s="84" t="s">
        <v>137</v>
      </c>
      <c r="D39" s="85">
        <v>60</v>
      </c>
      <c r="E39" s="119">
        <v>2</v>
      </c>
      <c r="F39" s="128">
        <v>47</v>
      </c>
      <c r="G39" s="120">
        <f>F39*D36</f>
        <v>5640</v>
      </c>
      <c r="H39" s="121" t="s">
        <v>3</v>
      </c>
      <c r="I39" s="121"/>
      <c r="J39" s="85">
        <v>1</v>
      </c>
      <c r="K39" s="85" t="s">
        <v>167</v>
      </c>
      <c r="L39" s="85">
        <v>2</v>
      </c>
      <c r="M39" s="119">
        <v>1.5</v>
      </c>
      <c r="N39" s="85">
        <f>M39*D36</f>
        <v>180</v>
      </c>
      <c r="O39" s="121"/>
      <c r="P39" s="121"/>
      <c r="Q39" s="119">
        <v>1</v>
      </c>
      <c r="R39" s="119">
        <v>20</v>
      </c>
      <c r="S39" s="84" t="s">
        <v>539</v>
      </c>
      <c r="T39" s="122">
        <v>12</v>
      </c>
    </row>
    <row r="40" spans="2:20">
      <c r="B40" s="118">
        <v>6</v>
      </c>
      <c r="C40" s="84" t="s">
        <v>137</v>
      </c>
      <c r="D40" s="85">
        <v>60</v>
      </c>
      <c r="E40" s="119"/>
      <c r="F40" s="121"/>
      <c r="G40" s="121"/>
      <c r="H40" s="120">
        <v>47</v>
      </c>
      <c r="I40" s="120">
        <f>H40*D36</f>
        <v>5640</v>
      </c>
      <c r="J40" s="85">
        <v>3</v>
      </c>
      <c r="K40" s="85" t="s">
        <v>18</v>
      </c>
      <c r="L40" s="85">
        <v>4</v>
      </c>
      <c r="M40" s="123"/>
      <c r="N40" s="106"/>
      <c r="O40" s="120">
        <f>SUM(8*X3)</f>
        <v>12</v>
      </c>
      <c r="P40" s="120">
        <f>O40*D36</f>
        <v>1440</v>
      </c>
      <c r="Q40" s="119">
        <v>1</v>
      </c>
      <c r="R40" s="119">
        <v>20</v>
      </c>
      <c r="S40" s="84" t="s">
        <v>266</v>
      </c>
      <c r="T40" s="122">
        <v>12</v>
      </c>
    </row>
    <row r="41" spans="2:20">
      <c r="B41" s="118">
        <v>12</v>
      </c>
      <c r="C41" s="84" t="s">
        <v>266</v>
      </c>
      <c r="D41" s="85">
        <v>20</v>
      </c>
      <c r="E41" s="119" t="s">
        <v>3</v>
      </c>
      <c r="F41" s="120">
        <f>SUM(8*X3)</f>
        <v>12</v>
      </c>
      <c r="G41" s="120">
        <f>F41*D36</f>
        <v>1440</v>
      </c>
      <c r="H41" s="121"/>
      <c r="I41" s="121"/>
      <c r="J41" s="85">
        <v>5</v>
      </c>
      <c r="K41" s="85" t="s">
        <v>167</v>
      </c>
      <c r="L41" s="85">
        <v>6</v>
      </c>
      <c r="M41" s="124">
        <f>SUM(10*X28+X32+X31)</f>
        <v>0</v>
      </c>
      <c r="N41" s="119">
        <f>M41*D36</f>
        <v>0</v>
      </c>
      <c r="O41" s="121"/>
      <c r="P41" s="121"/>
      <c r="Q41" s="119"/>
      <c r="R41" s="119"/>
      <c r="S41" s="84"/>
      <c r="T41" s="122"/>
    </row>
    <row r="42" spans="2:20">
      <c r="B42" s="118"/>
      <c r="C42" s="84"/>
      <c r="D42" s="85"/>
      <c r="E42" s="119"/>
      <c r="F42" s="121" t="s">
        <v>3</v>
      </c>
      <c r="G42" s="121" t="s">
        <v>3</v>
      </c>
      <c r="H42" s="125">
        <f>SUM(10*X28+X31+X32)</f>
        <v>0</v>
      </c>
      <c r="I42" s="125">
        <f>H42*D36</f>
        <v>0</v>
      </c>
      <c r="J42" s="85">
        <v>7</v>
      </c>
      <c r="K42" s="85" t="s">
        <v>18</v>
      </c>
      <c r="L42" s="85">
        <v>8</v>
      </c>
      <c r="M42" s="123" t="s">
        <v>3</v>
      </c>
      <c r="N42" s="106" t="s">
        <v>3</v>
      </c>
      <c r="O42" s="125"/>
      <c r="P42" s="125">
        <f>O42*D36</f>
        <v>0</v>
      </c>
      <c r="Q42" s="119"/>
      <c r="R42" s="119"/>
      <c r="S42" s="84"/>
      <c r="T42" s="122"/>
    </row>
    <row r="43" spans="2:20">
      <c r="B43" s="118"/>
      <c r="C43" s="84"/>
      <c r="D43" s="85"/>
      <c r="E43" s="119"/>
      <c r="F43" s="125">
        <v>0</v>
      </c>
      <c r="G43" s="125">
        <f>F43*D36</f>
        <v>0</v>
      </c>
      <c r="H43" s="121"/>
      <c r="I43" s="121" t="s">
        <v>3</v>
      </c>
      <c r="J43" s="85">
        <v>9</v>
      </c>
      <c r="K43" s="85" t="s">
        <v>167</v>
      </c>
      <c r="L43" s="85">
        <v>10</v>
      </c>
      <c r="M43" s="124"/>
      <c r="N43" s="119">
        <f>M43*D36</f>
        <v>0</v>
      </c>
      <c r="O43" s="121"/>
      <c r="P43" s="121" t="s">
        <v>3</v>
      </c>
      <c r="Q43" s="119"/>
      <c r="R43" s="119"/>
      <c r="S43" s="84"/>
      <c r="T43" s="122"/>
    </row>
    <row r="44" spans="2:20">
      <c r="B44" s="107"/>
      <c r="C44" s="3"/>
      <c r="D44" s="107"/>
      <c r="E44" s="107"/>
      <c r="F44" s="107">
        <f>SUM(F39:F43)</f>
        <v>59</v>
      </c>
      <c r="G44" s="107">
        <f>SUM(G39:G43)</f>
        <v>7080</v>
      </c>
      <c r="H44" s="107">
        <f>SUM(H39:H43)</f>
        <v>47</v>
      </c>
      <c r="I44" s="107">
        <f>SUM(I39:I43)</f>
        <v>5640</v>
      </c>
      <c r="J44" s="107"/>
      <c r="K44" s="107"/>
      <c r="L44" s="107"/>
      <c r="M44" s="107">
        <f>SUM(M39:M43)</f>
        <v>1.5</v>
      </c>
      <c r="N44" s="107">
        <f>SUM(N39:N43)</f>
        <v>180</v>
      </c>
      <c r="O44" s="107">
        <f>SUM(O39:O43)</f>
        <v>12</v>
      </c>
      <c r="P44" s="107">
        <f>SUM(P39:P43)</f>
        <v>1440</v>
      </c>
      <c r="Q44" s="3"/>
      <c r="R44" s="3"/>
      <c r="S44" s="3"/>
      <c r="T44" s="107"/>
    </row>
    <row r="45" spans="2:20">
      <c r="B45" s="107"/>
      <c r="C45" s="3"/>
      <c r="D45" s="107"/>
      <c r="E45" s="107"/>
      <c r="F45" s="107"/>
      <c r="G45" s="107"/>
      <c r="H45" s="107"/>
      <c r="I45" s="107"/>
      <c r="J45" s="107"/>
      <c r="K45" s="107"/>
      <c r="L45" s="107"/>
      <c r="M45" s="3"/>
      <c r="N45" s="3"/>
      <c r="O45" s="3"/>
      <c r="P45" s="3"/>
      <c r="Q45" s="3"/>
      <c r="R45" s="3"/>
      <c r="S45" s="3"/>
      <c r="T45" s="107"/>
    </row>
    <row r="46" spans="2:20">
      <c r="B46" s="107"/>
      <c r="C46" s="3"/>
      <c r="D46" s="107"/>
      <c r="E46" s="107"/>
      <c r="F46" s="107"/>
      <c r="G46" s="107"/>
      <c r="H46" s="107"/>
      <c r="I46" s="107"/>
      <c r="J46" s="85" t="s">
        <v>286</v>
      </c>
      <c r="K46" s="85">
        <f>G44+N44</f>
        <v>7260</v>
      </c>
      <c r="L46" s="85" t="s">
        <v>105</v>
      </c>
      <c r="M46" s="126">
        <f>K46/K48</f>
        <v>0.50627615062761511</v>
      </c>
      <c r="N46" s="3"/>
      <c r="O46" s="3"/>
      <c r="P46" s="3"/>
      <c r="Q46" s="3"/>
      <c r="R46" s="3"/>
      <c r="S46" s="3"/>
      <c r="T46" s="107"/>
    </row>
    <row r="47" spans="2:20">
      <c r="B47" s="107"/>
      <c r="C47" s="3"/>
      <c r="D47" s="107"/>
      <c r="E47" s="107"/>
      <c r="F47" s="107"/>
      <c r="G47" s="107"/>
      <c r="H47" s="107"/>
      <c r="I47" s="107"/>
      <c r="J47" s="85" t="s">
        <v>287</v>
      </c>
      <c r="K47" s="85">
        <f>I44+P44</f>
        <v>7080</v>
      </c>
      <c r="L47" s="85" t="s">
        <v>105</v>
      </c>
      <c r="M47" s="126">
        <f>K47/K48</f>
        <v>0.49372384937238495</v>
      </c>
      <c r="N47" s="3"/>
      <c r="O47" s="3"/>
      <c r="P47" s="3"/>
      <c r="Q47" s="3"/>
      <c r="R47" s="3"/>
      <c r="S47" s="3"/>
      <c r="T47" s="107"/>
    </row>
    <row r="48" spans="2:20">
      <c r="B48" s="107"/>
      <c r="C48" s="3"/>
      <c r="D48" s="107"/>
      <c r="E48" s="107"/>
      <c r="F48" s="107"/>
      <c r="G48" s="107"/>
      <c r="H48" s="107"/>
      <c r="I48" s="107"/>
      <c r="J48" s="107"/>
      <c r="K48" s="107">
        <f>SUM(K46:K47)</f>
        <v>14340</v>
      </c>
      <c r="L48" s="107" t="s">
        <v>105</v>
      </c>
      <c r="M48" s="107"/>
      <c r="N48" s="3"/>
      <c r="O48" s="3"/>
      <c r="P48" s="3"/>
      <c r="Q48" s="3"/>
      <c r="R48" s="3"/>
      <c r="S48" s="3"/>
      <c r="T48" s="107"/>
    </row>
    <row r="49" spans="2:20">
      <c r="B49" s="107"/>
      <c r="C49" s="3"/>
      <c r="D49" s="107"/>
      <c r="E49" s="107"/>
      <c r="F49" s="107"/>
      <c r="G49" s="107"/>
      <c r="H49" s="107"/>
      <c r="I49" s="107"/>
      <c r="J49" s="107"/>
      <c r="K49" s="107">
        <f>K48/J36</f>
        <v>59.75</v>
      </c>
      <c r="L49" s="107" t="s">
        <v>106</v>
      </c>
      <c r="M49" s="107"/>
      <c r="N49" s="3"/>
      <c r="O49" s="3"/>
      <c r="P49" s="3"/>
      <c r="Q49" s="3"/>
      <c r="R49" s="3"/>
      <c r="S49" s="3"/>
      <c r="T49" s="107"/>
    </row>
    <row r="50" spans="2:20">
      <c r="B50" s="107"/>
      <c r="C50" s="3"/>
      <c r="D50" s="107"/>
      <c r="E50" s="107"/>
      <c r="F50" s="107"/>
      <c r="G50" s="107"/>
      <c r="H50" s="107"/>
      <c r="I50" s="107"/>
      <c r="J50" s="107"/>
      <c r="K50" s="107">
        <f>K49/0.8</f>
        <v>74.6875</v>
      </c>
      <c r="L50" s="127">
        <v>0.2</v>
      </c>
      <c r="M50" s="107"/>
      <c r="N50" s="3"/>
      <c r="O50" s="3"/>
      <c r="P50" s="3"/>
      <c r="Q50" s="3"/>
      <c r="R50" s="3"/>
      <c r="S50" s="3"/>
      <c r="T50" s="107"/>
    </row>
    <row r="51" spans="2:20">
      <c r="B51" s="107"/>
      <c r="C51" s="3"/>
      <c r="D51" s="107"/>
      <c r="E51" s="107"/>
      <c r="F51" s="107"/>
      <c r="G51" s="107"/>
      <c r="H51" s="107"/>
      <c r="I51" s="107"/>
      <c r="J51" s="107" t="s">
        <v>289</v>
      </c>
      <c r="K51" s="107">
        <f>I36</f>
        <v>100</v>
      </c>
      <c r="L51" s="107" t="s">
        <v>106</v>
      </c>
      <c r="M51" s="107"/>
      <c r="N51" s="3"/>
      <c r="O51" s="3"/>
      <c r="P51" s="3"/>
      <c r="Q51" s="3"/>
      <c r="R51" s="3"/>
      <c r="S51" s="3"/>
      <c r="T51" s="107"/>
    </row>
    <row r="66" spans="28:29">
      <c r="AB66" s="1" t="s">
        <v>119</v>
      </c>
      <c r="AC66" s="1" t="s">
        <v>128</v>
      </c>
    </row>
    <row r="67" spans="28:29">
      <c r="AB67" s="1" t="s">
        <v>139</v>
      </c>
      <c r="AC67" s="1" t="s">
        <v>140</v>
      </c>
    </row>
    <row r="68" spans="28:29">
      <c r="AB68" s="1" t="s">
        <v>146</v>
      </c>
      <c r="AC68" s="1" t="s">
        <v>147</v>
      </c>
    </row>
    <row r="69" spans="28:29">
      <c r="AB69" s="1" t="s">
        <v>120</v>
      </c>
      <c r="AC69" s="1" t="s">
        <v>148</v>
      </c>
    </row>
    <row r="70" spans="28:29">
      <c r="AB70" s="1" t="s">
        <v>137</v>
      </c>
      <c r="AC70" s="1" t="s">
        <v>138</v>
      </c>
    </row>
    <row r="71" spans="28:29" ht="12.75" customHeight="1">
      <c r="AB71" s="1" t="s">
        <v>543</v>
      </c>
      <c r="AC71" s="1" t="s">
        <v>544</v>
      </c>
    </row>
    <row r="72" spans="28:29" ht="12.75" customHeight="1">
      <c r="AB72" s="1" t="s">
        <v>546</v>
      </c>
      <c r="AC72" s="1" t="s">
        <v>545</v>
      </c>
    </row>
    <row r="73" spans="28:29" ht="12.75" customHeight="1">
      <c r="AB73" s="1" t="s">
        <v>129</v>
      </c>
      <c r="AC73" s="1" t="s">
        <v>141</v>
      </c>
    </row>
    <row r="74" spans="28:29" ht="13.5" customHeight="1">
      <c r="AB74" s="1" t="s">
        <v>132</v>
      </c>
      <c r="AC74" s="1" t="s">
        <v>133</v>
      </c>
    </row>
    <row r="75" spans="28:29">
      <c r="AB75" s="1" t="s">
        <v>130</v>
      </c>
      <c r="AC75" s="1" t="s">
        <v>131</v>
      </c>
    </row>
    <row r="76" spans="28:29">
      <c r="AB76" s="1" t="s">
        <v>121</v>
      </c>
      <c r="AC76" s="1" t="s">
        <v>125</v>
      </c>
    </row>
    <row r="77" spans="28:29">
      <c r="AB77" s="1" t="s">
        <v>135</v>
      </c>
      <c r="AC77" s="1" t="s">
        <v>136</v>
      </c>
    </row>
    <row r="78" spans="28:29">
      <c r="AB78" s="29" t="s">
        <v>536</v>
      </c>
      <c r="AC78" s="1" t="s">
        <v>126</v>
      </c>
    </row>
    <row r="79" spans="28:29">
      <c r="AB79" s="104" t="s">
        <v>122</v>
      </c>
      <c r="AC79" s="104" t="s">
        <v>537</v>
      </c>
    </row>
    <row r="80" spans="28:29">
      <c r="AB80" s="29" t="s">
        <v>102</v>
      </c>
      <c r="AC80" s="1" t="s">
        <v>134</v>
      </c>
    </row>
    <row r="81" spans="28:29">
      <c r="AB81" s="1" t="s">
        <v>123</v>
      </c>
      <c r="AC81" s="1" t="s">
        <v>127</v>
      </c>
    </row>
    <row r="111" ht="12.75" customHeight="1"/>
    <row r="112" ht="12.75" customHeight="1"/>
    <row r="113" ht="12.75" customHeight="1"/>
    <row r="114" ht="13.5" customHeight="1"/>
  </sheetData>
  <mergeCells count="30">
    <mergeCell ref="B8:T11"/>
    <mergeCell ref="C14:C15"/>
    <mergeCell ref="B14:B15"/>
    <mergeCell ref="D14:D15"/>
    <mergeCell ref="E14:E15"/>
    <mergeCell ref="Q14:Q15"/>
    <mergeCell ref="R14:R15"/>
    <mergeCell ref="S14:S15"/>
    <mergeCell ref="T14:T15"/>
    <mergeCell ref="D12:E12"/>
    <mergeCell ref="F12:G12"/>
    <mergeCell ref="F13:G13"/>
    <mergeCell ref="F14:I14"/>
    <mergeCell ref="J14:L15"/>
    <mergeCell ref="M14:P14"/>
    <mergeCell ref="B37:B38"/>
    <mergeCell ref="C37:C38"/>
    <mergeCell ref="D37:D38"/>
    <mergeCell ref="E37:E38"/>
    <mergeCell ref="B31:T34"/>
    <mergeCell ref="D35:E35"/>
    <mergeCell ref="F35:G35"/>
    <mergeCell ref="F36:G36"/>
    <mergeCell ref="R37:R38"/>
    <mergeCell ref="S37:S38"/>
    <mergeCell ref="T37:T38"/>
    <mergeCell ref="F37:I37"/>
    <mergeCell ref="J37:L38"/>
    <mergeCell ref="M37:P37"/>
    <mergeCell ref="Q37:Q38"/>
  </mergeCells>
  <phoneticPr fontId="2" type="noConversion"/>
  <pageMargins left="0.75" right="0.75" top="1" bottom="1" header="0.5" footer="0.5"/>
  <pageSetup scale="2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4:AD92"/>
  <sheetViews>
    <sheetView zoomScale="80" zoomScaleNormal="80" workbookViewId="0">
      <selection activeCell="V16" sqref="V16"/>
    </sheetView>
  </sheetViews>
  <sheetFormatPr defaultRowHeight="12.75"/>
  <cols>
    <col min="1" max="1" width="1.7109375" customWidth="1"/>
    <col min="2" max="2" width="5.85546875" style="5" bestFit="1" customWidth="1"/>
    <col min="3" max="3" width="20.28515625" bestFit="1" customWidth="1"/>
    <col min="4" max="4" width="9.140625" style="5"/>
    <col min="5" max="5" width="6" style="5" bestFit="1" customWidth="1"/>
    <col min="6" max="6" width="9.28515625" style="5" bestFit="1" customWidth="1"/>
    <col min="7" max="7" width="10.7109375" style="5" bestFit="1" customWidth="1"/>
    <col min="8" max="14" width="9.140625" style="5"/>
    <col min="16" max="16" width="10.28515625" bestFit="1" customWidth="1"/>
    <col min="17" max="17" width="10.28515625" customWidth="1"/>
    <col min="18" max="18" width="10.5703125" bestFit="1" customWidth="1"/>
    <col min="20" max="20" width="10.5703125" bestFit="1" customWidth="1"/>
    <col min="22" max="22" width="10" bestFit="1" customWidth="1"/>
    <col min="23" max="23" width="25.7109375" customWidth="1"/>
    <col min="24" max="24" width="9.140625" style="5"/>
    <col min="29" max="29" width="23.140625" bestFit="1" customWidth="1"/>
  </cols>
  <sheetData>
    <row r="4" spans="1:30">
      <c r="G4" s="5" t="s">
        <v>3</v>
      </c>
    </row>
    <row r="6" spans="1:30" ht="13.5" thickBot="1"/>
    <row r="7" spans="1:30">
      <c r="B7" s="253" t="s">
        <v>111</v>
      </c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5"/>
      <c r="Z7" s="30"/>
      <c r="AB7" s="2" t="s">
        <v>113</v>
      </c>
      <c r="AC7" s="2" t="s">
        <v>117</v>
      </c>
      <c r="AD7" s="1" t="s">
        <v>114</v>
      </c>
    </row>
    <row r="8" spans="1:30">
      <c r="B8" s="256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8"/>
      <c r="Z8" s="30"/>
      <c r="AB8" s="2">
        <v>1.5</v>
      </c>
      <c r="AC8" s="1" t="s">
        <v>103</v>
      </c>
      <c r="AD8" s="1">
        <f>AB8*M8</f>
        <v>0</v>
      </c>
    </row>
    <row r="9" spans="1:30">
      <c r="B9" s="256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8"/>
      <c r="Z9" s="30" t="s">
        <v>166</v>
      </c>
      <c r="AA9" s="43" t="s">
        <v>169</v>
      </c>
      <c r="AB9" s="2">
        <v>0.77</v>
      </c>
      <c r="AC9" s="1" t="s">
        <v>177</v>
      </c>
      <c r="AD9" s="1">
        <v>92</v>
      </c>
    </row>
    <row r="10" spans="1:30" ht="13.5" thickBot="1">
      <c r="B10" s="256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8"/>
      <c r="Z10" s="34" t="s">
        <v>3</v>
      </c>
      <c r="AA10" t="s">
        <v>3</v>
      </c>
      <c r="AB10" s="2">
        <v>0.8</v>
      </c>
      <c r="AC10" s="1" t="s">
        <v>115</v>
      </c>
      <c r="AD10" s="1">
        <f>AB10*M8</f>
        <v>0</v>
      </c>
    </row>
    <row r="11" spans="1:30" ht="18.75" customHeight="1">
      <c r="A11" s="23"/>
      <c r="B11" s="65"/>
      <c r="C11" s="66"/>
      <c r="D11" s="263" t="s">
        <v>280</v>
      </c>
      <c r="E11" s="263"/>
      <c r="F11" s="263" t="s">
        <v>285</v>
      </c>
      <c r="G11" s="263"/>
      <c r="H11" s="67"/>
      <c r="I11" s="263" t="s">
        <v>107</v>
      </c>
      <c r="J11" s="263"/>
      <c r="K11" s="67"/>
      <c r="L11" s="67" t="s">
        <v>291</v>
      </c>
      <c r="M11" s="67"/>
      <c r="N11" s="67"/>
      <c r="O11" s="66" t="s">
        <v>293</v>
      </c>
      <c r="P11" s="66"/>
      <c r="Q11" s="66"/>
      <c r="R11" s="66"/>
      <c r="S11" s="66"/>
      <c r="T11" s="66"/>
      <c r="U11" s="66"/>
      <c r="V11" s="66"/>
      <c r="W11" s="66"/>
      <c r="X11" s="68"/>
      <c r="Z11" s="30" t="s">
        <v>166</v>
      </c>
      <c r="AA11" s="41" t="s">
        <v>169</v>
      </c>
      <c r="AB11" s="2">
        <v>0.31</v>
      </c>
      <c r="AC11" s="42" t="s">
        <v>178</v>
      </c>
      <c r="AD11" s="1">
        <v>38</v>
      </c>
    </row>
    <row r="12" spans="1:30" ht="10.5" customHeight="1">
      <c r="B12" s="69"/>
      <c r="C12" s="23"/>
      <c r="D12" s="2">
        <v>120</v>
      </c>
      <c r="E12" s="2">
        <v>208</v>
      </c>
      <c r="F12" s="240">
        <v>3</v>
      </c>
      <c r="G12" s="240"/>
      <c r="H12" s="70"/>
      <c r="I12" s="240" t="s">
        <v>238</v>
      </c>
      <c r="J12" s="240"/>
      <c r="K12" s="70"/>
      <c r="L12" s="70">
        <f>3*D12</f>
        <v>360</v>
      </c>
      <c r="M12" s="70"/>
      <c r="N12" s="70"/>
      <c r="O12" s="23"/>
      <c r="P12" s="23"/>
      <c r="Q12" s="23"/>
      <c r="R12" s="23"/>
      <c r="S12" s="23"/>
      <c r="T12" s="23"/>
      <c r="U12" s="23"/>
      <c r="V12" s="23"/>
      <c r="W12" s="23"/>
      <c r="X12" s="71"/>
      <c r="AB12" s="2">
        <f>AD12/120</f>
        <v>3.3333333333333333E-2</v>
      </c>
      <c r="AC12" s="1" t="s">
        <v>116</v>
      </c>
      <c r="AD12" s="1">
        <v>4</v>
      </c>
    </row>
    <row r="13" spans="1:30">
      <c r="B13" s="261" t="s">
        <v>276</v>
      </c>
      <c r="C13" s="262" t="s">
        <v>168</v>
      </c>
      <c r="D13" s="262" t="s">
        <v>107</v>
      </c>
      <c r="E13" s="262" t="s">
        <v>273</v>
      </c>
      <c r="F13" s="240" t="s">
        <v>274</v>
      </c>
      <c r="G13" s="240"/>
      <c r="H13" s="240"/>
      <c r="I13" s="240"/>
      <c r="J13" s="240"/>
      <c r="K13" s="240"/>
      <c r="L13" s="262" t="s">
        <v>275</v>
      </c>
      <c r="M13" s="262"/>
      <c r="N13" s="262"/>
      <c r="O13" s="240" t="s">
        <v>274</v>
      </c>
      <c r="P13" s="240"/>
      <c r="Q13" s="240"/>
      <c r="R13" s="240"/>
      <c r="S13" s="240"/>
      <c r="T13" s="240"/>
      <c r="U13" s="262" t="s">
        <v>273</v>
      </c>
      <c r="V13" s="262" t="s">
        <v>107</v>
      </c>
      <c r="W13" s="262" t="s">
        <v>168</v>
      </c>
      <c r="X13" s="260" t="s">
        <v>276</v>
      </c>
      <c r="AB13" s="2">
        <f>AD13/120</f>
        <v>0.10833333333333334</v>
      </c>
      <c r="AC13" s="1" t="s">
        <v>118</v>
      </c>
      <c r="AD13" s="1">
        <v>13</v>
      </c>
    </row>
    <row r="14" spans="1:30">
      <c r="B14" s="261"/>
      <c r="C14" s="262"/>
      <c r="D14" s="262"/>
      <c r="E14" s="262"/>
      <c r="F14" s="2" t="s">
        <v>278</v>
      </c>
      <c r="G14" s="2" t="s">
        <v>279</v>
      </c>
      <c r="H14" s="2" t="s">
        <v>281</v>
      </c>
      <c r="I14" s="2" t="s">
        <v>282</v>
      </c>
      <c r="J14" s="2" t="s">
        <v>283</v>
      </c>
      <c r="K14" s="2" t="s">
        <v>284</v>
      </c>
      <c r="L14" s="262"/>
      <c r="M14" s="262"/>
      <c r="N14" s="262"/>
      <c r="O14" s="2" t="s">
        <v>278</v>
      </c>
      <c r="P14" s="2" t="s">
        <v>279</v>
      </c>
      <c r="Q14" s="2" t="s">
        <v>281</v>
      </c>
      <c r="R14" s="2" t="s">
        <v>282</v>
      </c>
      <c r="S14" s="2" t="s">
        <v>283</v>
      </c>
      <c r="T14" s="2" t="s">
        <v>284</v>
      </c>
      <c r="U14" s="262"/>
      <c r="V14" s="262"/>
      <c r="W14" s="262"/>
      <c r="X14" s="260"/>
      <c r="AB14" s="2">
        <v>22.9</v>
      </c>
      <c r="AC14" s="1" t="s">
        <v>102</v>
      </c>
      <c r="AD14" s="1">
        <f>AB14*115</f>
        <v>2633.5</v>
      </c>
    </row>
    <row r="15" spans="1:30">
      <c r="B15" s="72">
        <v>6</v>
      </c>
      <c r="C15" s="1" t="s">
        <v>137</v>
      </c>
      <c r="D15" s="2">
        <v>60</v>
      </c>
      <c r="E15" s="31">
        <v>2</v>
      </c>
      <c r="F15" s="2">
        <v>45</v>
      </c>
      <c r="G15" s="2">
        <f>F15*D12</f>
        <v>5400</v>
      </c>
      <c r="H15" s="55" t="s">
        <v>3</v>
      </c>
      <c r="I15" s="55"/>
      <c r="J15" s="55"/>
      <c r="K15" s="55"/>
      <c r="L15" s="2">
        <v>1</v>
      </c>
      <c r="M15" s="2" t="s">
        <v>167</v>
      </c>
      <c r="N15" s="2">
        <v>2</v>
      </c>
      <c r="O15" s="2">
        <v>0</v>
      </c>
      <c r="P15" s="2">
        <f>O15*D12</f>
        <v>0</v>
      </c>
      <c r="Q15" s="55"/>
      <c r="R15" s="55"/>
      <c r="S15" s="55" t="s">
        <v>3</v>
      </c>
      <c r="T15" s="53"/>
      <c r="U15" s="31">
        <v>2</v>
      </c>
      <c r="V15" s="31">
        <v>60</v>
      </c>
      <c r="W15" s="1" t="s">
        <v>137</v>
      </c>
      <c r="X15" s="73">
        <v>6</v>
      </c>
      <c r="AB15" s="2">
        <v>59</v>
      </c>
      <c r="AC15" s="1" t="s">
        <v>137</v>
      </c>
      <c r="AD15" s="1">
        <f>AB15*M8</f>
        <v>0</v>
      </c>
    </row>
    <row r="16" spans="1:30">
      <c r="B16" s="72">
        <v>6</v>
      </c>
      <c r="C16" s="1" t="s">
        <v>137</v>
      </c>
      <c r="D16" s="2">
        <v>60</v>
      </c>
      <c r="E16" s="31"/>
      <c r="F16" s="55"/>
      <c r="G16" s="55"/>
      <c r="H16" s="2">
        <v>45</v>
      </c>
      <c r="I16" s="2">
        <f>H16*D12</f>
        <v>5400</v>
      </c>
      <c r="J16" s="55"/>
      <c r="K16" s="55"/>
      <c r="L16" s="2">
        <v>3</v>
      </c>
      <c r="M16" s="2" t="s">
        <v>18</v>
      </c>
      <c r="N16" s="2">
        <v>4</v>
      </c>
      <c r="O16" s="53"/>
      <c r="P16" s="53"/>
      <c r="Q16" s="1">
        <v>0</v>
      </c>
      <c r="R16" s="2">
        <f>Q16*D12</f>
        <v>0</v>
      </c>
      <c r="S16" s="55" t="s">
        <v>3</v>
      </c>
      <c r="T16" s="53"/>
      <c r="U16" s="31"/>
      <c r="V16" s="31"/>
      <c r="W16" s="1" t="s">
        <v>137</v>
      </c>
      <c r="X16" s="73">
        <v>6</v>
      </c>
      <c r="AB16" s="2"/>
      <c r="AC16" s="1"/>
      <c r="AD16" s="1">
        <f>AB16*120</f>
        <v>0</v>
      </c>
    </row>
    <row r="17" spans="2:30">
      <c r="B17" s="72">
        <v>10</v>
      </c>
      <c r="C17" s="1" t="s">
        <v>277</v>
      </c>
      <c r="D17" s="2">
        <v>30</v>
      </c>
      <c r="E17" s="31">
        <v>2</v>
      </c>
      <c r="F17" s="2"/>
      <c r="G17" s="2"/>
      <c r="H17" s="2"/>
      <c r="I17" s="2"/>
      <c r="J17" s="2">
        <v>22.9</v>
      </c>
      <c r="K17" s="2">
        <f>J17*D12</f>
        <v>2748</v>
      </c>
      <c r="L17" s="2">
        <v>5</v>
      </c>
      <c r="M17" s="2" t="s">
        <v>185</v>
      </c>
      <c r="N17" s="2">
        <v>6</v>
      </c>
      <c r="O17" s="53"/>
      <c r="P17" s="53"/>
      <c r="Q17" s="53"/>
      <c r="R17" s="53"/>
      <c r="S17" s="1">
        <v>12</v>
      </c>
      <c r="T17" s="2">
        <f>S17*D12</f>
        <v>1440</v>
      </c>
      <c r="U17" s="31">
        <v>1</v>
      </c>
      <c r="V17" s="31">
        <v>20</v>
      </c>
      <c r="W17" s="1" t="s">
        <v>104</v>
      </c>
      <c r="X17" s="73">
        <v>12</v>
      </c>
      <c r="Z17" t="s">
        <v>3</v>
      </c>
      <c r="AB17" s="2"/>
      <c r="AC17" s="1"/>
      <c r="AD17" s="1">
        <f>AB17*120</f>
        <v>0</v>
      </c>
    </row>
    <row r="18" spans="2:30">
      <c r="B18" s="72">
        <v>10</v>
      </c>
      <c r="C18" s="1" t="s">
        <v>277</v>
      </c>
      <c r="D18" s="2">
        <v>30</v>
      </c>
      <c r="E18" s="31"/>
      <c r="F18" s="2">
        <v>22.9</v>
      </c>
      <c r="G18" s="2">
        <f>F18*D12</f>
        <v>2748</v>
      </c>
      <c r="H18" s="55"/>
      <c r="I18" s="55"/>
      <c r="J18" s="55"/>
      <c r="K18" s="55"/>
      <c r="L18" s="2">
        <v>7</v>
      </c>
      <c r="M18" s="2" t="s">
        <v>167</v>
      </c>
      <c r="N18" s="2">
        <v>8</v>
      </c>
      <c r="O18" s="1"/>
      <c r="P18" s="2">
        <f>O18*D12</f>
        <v>0</v>
      </c>
      <c r="Q18" s="53"/>
      <c r="R18" s="53"/>
      <c r="S18" s="53"/>
      <c r="T18" s="53"/>
      <c r="U18" s="31"/>
      <c r="V18" s="31" t="s">
        <v>3</v>
      </c>
      <c r="W18" s="1" t="s">
        <v>3</v>
      </c>
      <c r="X18" s="73"/>
      <c r="AB18" s="2"/>
      <c r="AC18" s="1"/>
      <c r="AD18" s="1">
        <f>AB18*120</f>
        <v>0</v>
      </c>
    </row>
    <row r="19" spans="2:30">
      <c r="B19" s="72"/>
      <c r="C19" s="1" t="s">
        <v>71</v>
      </c>
      <c r="D19" s="2"/>
      <c r="E19" s="31"/>
      <c r="F19" s="55"/>
      <c r="G19" s="55"/>
      <c r="H19" s="2"/>
      <c r="I19" s="2">
        <f>H19*D12</f>
        <v>0</v>
      </c>
      <c r="J19" s="55"/>
      <c r="K19" s="55"/>
      <c r="L19" s="2">
        <v>9</v>
      </c>
      <c r="M19" s="2" t="s">
        <v>18</v>
      </c>
      <c r="N19" s="2">
        <v>10</v>
      </c>
      <c r="O19" s="53"/>
      <c r="P19" s="53"/>
      <c r="Q19" s="1"/>
      <c r="R19" s="2">
        <f>Q19*D12</f>
        <v>0</v>
      </c>
      <c r="S19" s="53"/>
      <c r="T19" s="53"/>
      <c r="U19" s="31"/>
      <c r="V19" s="31"/>
      <c r="W19" s="1"/>
      <c r="X19" s="73"/>
    </row>
    <row r="20" spans="2:30">
      <c r="B20" s="72">
        <v>12</v>
      </c>
      <c r="C20" s="1" t="s">
        <v>266</v>
      </c>
      <c r="D20" s="2">
        <v>20</v>
      </c>
      <c r="E20" s="31">
        <v>1</v>
      </c>
      <c r="F20" s="55"/>
      <c r="G20" s="55"/>
      <c r="H20" s="55"/>
      <c r="I20" s="55"/>
      <c r="J20" s="2">
        <f>7*1.5</f>
        <v>10.5</v>
      </c>
      <c r="K20" s="2">
        <f>J20*D12</f>
        <v>1260</v>
      </c>
      <c r="L20" s="2">
        <v>11</v>
      </c>
      <c r="M20" s="2" t="s">
        <v>185</v>
      </c>
      <c r="N20" s="2">
        <v>12</v>
      </c>
      <c r="O20" s="53"/>
      <c r="P20" s="53"/>
      <c r="Q20" s="53"/>
      <c r="R20" s="53"/>
      <c r="S20" s="1">
        <v>1.5</v>
      </c>
      <c r="T20" s="2">
        <f>S20*D12</f>
        <v>180</v>
      </c>
      <c r="U20" s="31"/>
      <c r="V20" s="31"/>
      <c r="W20" s="1" t="s">
        <v>290</v>
      </c>
      <c r="X20" s="73"/>
      <c r="Z20" s="1" t="s">
        <v>119</v>
      </c>
      <c r="AA20" s="1" t="s">
        <v>128</v>
      </c>
    </row>
    <row r="21" spans="2:30">
      <c r="B21" s="72">
        <v>12</v>
      </c>
      <c r="C21" s="1" t="s">
        <v>290</v>
      </c>
      <c r="D21" s="2">
        <v>20</v>
      </c>
      <c r="E21" s="31">
        <v>1</v>
      </c>
      <c r="F21" s="2">
        <v>1.5</v>
      </c>
      <c r="G21" s="2">
        <f>F21*D12</f>
        <v>180</v>
      </c>
      <c r="H21" s="55"/>
      <c r="I21" s="55"/>
      <c r="J21" s="55"/>
      <c r="K21" s="55"/>
      <c r="L21" s="2">
        <v>13</v>
      </c>
      <c r="M21" s="2" t="s">
        <v>167</v>
      </c>
      <c r="N21" s="2">
        <v>14</v>
      </c>
      <c r="O21" s="1">
        <f>11*1.5</f>
        <v>16.5</v>
      </c>
      <c r="P21" s="2">
        <f>O21*D12</f>
        <v>1980</v>
      </c>
      <c r="Q21" s="53"/>
      <c r="R21" s="53"/>
      <c r="S21" s="53"/>
      <c r="T21" s="53"/>
      <c r="U21" s="31">
        <v>1</v>
      </c>
      <c r="V21" s="31">
        <v>20</v>
      </c>
      <c r="W21" s="1" t="s">
        <v>266</v>
      </c>
      <c r="X21" s="73"/>
      <c r="Z21" s="1" t="s">
        <v>139</v>
      </c>
      <c r="AA21" s="1" t="s">
        <v>140</v>
      </c>
    </row>
    <row r="22" spans="2:30">
      <c r="B22" s="72"/>
      <c r="C22" s="1"/>
      <c r="D22" s="2"/>
      <c r="E22" s="31"/>
      <c r="F22" s="55"/>
      <c r="G22" s="55"/>
      <c r="H22" s="2"/>
      <c r="I22" s="2">
        <f>H22*D12</f>
        <v>0</v>
      </c>
      <c r="J22" s="55"/>
      <c r="K22" s="55"/>
      <c r="L22" s="2">
        <v>15</v>
      </c>
      <c r="M22" s="2" t="s">
        <v>18</v>
      </c>
      <c r="N22" s="2">
        <v>16</v>
      </c>
      <c r="O22" s="53"/>
      <c r="P22" s="53"/>
      <c r="Q22" s="1"/>
      <c r="R22" s="2">
        <f>Q22*D12</f>
        <v>0</v>
      </c>
      <c r="S22" s="53"/>
      <c r="T22" s="53"/>
      <c r="U22" s="31"/>
      <c r="V22" s="31"/>
      <c r="W22" s="1"/>
      <c r="X22" s="73"/>
      <c r="Z22" s="1" t="s">
        <v>146</v>
      </c>
      <c r="AA22" s="1" t="s">
        <v>147</v>
      </c>
    </row>
    <row r="23" spans="2:30">
      <c r="B23" s="72"/>
      <c r="C23" s="1"/>
      <c r="D23" s="2"/>
      <c r="E23" s="31"/>
      <c r="F23" s="55"/>
      <c r="G23" s="55"/>
      <c r="H23" s="55"/>
      <c r="I23" s="55"/>
      <c r="J23" s="2"/>
      <c r="K23" s="2">
        <f>J23*D12</f>
        <v>0</v>
      </c>
      <c r="L23" s="2">
        <v>17</v>
      </c>
      <c r="M23" s="2" t="s">
        <v>185</v>
      </c>
      <c r="N23" s="2">
        <v>18</v>
      </c>
      <c r="O23" s="53"/>
      <c r="P23" s="53"/>
      <c r="Q23" s="53"/>
      <c r="R23" s="53"/>
      <c r="S23" s="1"/>
      <c r="T23" s="2">
        <f>S23*D12</f>
        <v>0</v>
      </c>
      <c r="U23" s="31"/>
      <c r="V23" s="31"/>
      <c r="W23" s="1"/>
      <c r="X23" s="73"/>
      <c r="Z23" s="1" t="s">
        <v>120</v>
      </c>
      <c r="AA23" s="1" t="s">
        <v>148</v>
      </c>
    </row>
    <row r="24" spans="2:30">
      <c r="B24" s="72"/>
      <c r="C24" s="1"/>
      <c r="D24" s="2"/>
      <c r="E24" s="31"/>
      <c r="F24" s="2"/>
      <c r="G24" s="2">
        <f>F24*D12</f>
        <v>0</v>
      </c>
      <c r="H24" s="55"/>
      <c r="I24" s="55"/>
      <c r="J24" s="55"/>
      <c r="K24" s="55"/>
      <c r="L24" s="2">
        <f>L23+2</f>
        <v>19</v>
      </c>
      <c r="M24" s="2" t="s">
        <v>167</v>
      </c>
      <c r="N24" s="2">
        <f>N23+2</f>
        <v>20</v>
      </c>
      <c r="O24" s="1"/>
      <c r="P24" s="2">
        <f>O24*D12</f>
        <v>0</v>
      </c>
      <c r="Q24" s="53"/>
      <c r="R24" s="53"/>
      <c r="S24" s="53"/>
      <c r="T24" s="53"/>
      <c r="U24" s="31"/>
      <c r="V24" s="31"/>
      <c r="W24" s="1"/>
      <c r="X24" s="73"/>
      <c r="Z24" s="1" t="s">
        <v>137</v>
      </c>
      <c r="AA24" s="1" t="s">
        <v>138</v>
      </c>
    </row>
    <row r="25" spans="2:30">
      <c r="B25" s="72"/>
      <c r="C25" s="1"/>
      <c r="D25" s="2"/>
      <c r="E25" s="31"/>
      <c r="F25" s="55"/>
      <c r="G25" s="55"/>
      <c r="H25" s="2"/>
      <c r="I25" s="2">
        <f>H25*D12</f>
        <v>0</v>
      </c>
      <c r="J25" s="55"/>
      <c r="K25" s="55"/>
      <c r="L25" s="2">
        <f t="shared" ref="L25:L35" si="0">L24+2</f>
        <v>21</v>
      </c>
      <c r="M25" s="2" t="s">
        <v>18</v>
      </c>
      <c r="N25" s="2">
        <f t="shared" ref="N25:N35" si="1">N24+2</f>
        <v>22</v>
      </c>
      <c r="O25" s="53"/>
      <c r="P25" s="53"/>
      <c r="Q25" s="1"/>
      <c r="R25" s="2">
        <f>Q25*D12</f>
        <v>0</v>
      </c>
      <c r="S25" s="53"/>
      <c r="T25" s="53"/>
      <c r="U25" s="31"/>
      <c r="V25" s="31"/>
      <c r="W25" s="1"/>
      <c r="X25" s="73"/>
      <c r="Z25" s="1" t="s">
        <v>109</v>
      </c>
      <c r="AA25" s="1" t="s">
        <v>124</v>
      </c>
    </row>
    <row r="26" spans="2:30">
      <c r="B26" s="72"/>
      <c r="C26" s="1"/>
      <c r="D26" s="2"/>
      <c r="E26" s="31"/>
      <c r="F26" s="55"/>
      <c r="G26" s="55"/>
      <c r="H26" s="55"/>
      <c r="I26" s="55"/>
      <c r="J26" s="2"/>
      <c r="K26" s="2">
        <f>J26*D12</f>
        <v>0</v>
      </c>
      <c r="L26" s="2">
        <f t="shared" si="0"/>
        <v>23</v>
      </c>
      <c r="M26" s="2" t="s">
        <v>185</v>
      </c>
      <c r="N26" s="2">
        <f t="shared" si="1"/>
        <v>24</v>
      </c>
      <c r="O26" s="53"/>
      <c r="P26" s="53"/>
      <c r="Q26" s="53"/>
      <c r="R26" s="53"/>
      <c r="S26" s="1"/>
      <c r="T26" s="2">
        <f>S26*D12</f>
        <v>0</v>
      </c>
      <c r="U26" s="31"/>
      <c r="V26" s="31"/>
      <c r="W26" s="1"/>
      <c r="X26" s="73"/>
      <c r="Z26" s="1" t="s">
        <v>129</v>
      </c>
      <c r="AA26" s="1" t="s">
        <v>141</v>
      </c>
    </row>
    <row r="27" spans="2:30">
      <c r="B27" s="72"/>
      <c r="C27" s="1"/>
      <c r="D27" s="2"/>
      <c r="E27" s="31"/>
      <c r="F27" s="2"/>
      <c r="G27" s="2">
        <f>F27*D12</f>
        <v>0</v>
      </c>
      <c r="H27" s="55"/>
      <c r="I27" s="55"/>
      <c r="J27" s="55"/>
      <c r="K27" s="55"/>
      <c r="L27" s="2">
        <f t="shared" si="0"/>
        <v>25</v>
      </c>
      <c r="M27" s="2" t="s">
        <v>167</v>
      </c>
      <c r="N27" s="2">
        <f t="shared" si="1"/>
        <v>26</v>
      </c>
      <c r="O27" s="1"/>
      <c r="P27" s="2">
        <f>O27*D12</f>
        <v>0</v>
      </c>
      <c r="Q27" s="53"/>
      <c r="R27" s="53"/>
      <c r="S27" s="53"/>
      <c r="T27" s="53"/>
      <c r="U27" s="31"/>
      <c r="V27" s="31"/>
      <c r="W27" s="1"/>
      <c r="X27" s="73"/>
      <c r="Z27" s="1" t="s">
        <v>132</v>
      </c>
      <c r="AA27" s="1" t="s">
        <v>133</v>
      </c>
    </row>
    <row r="28" spans="2:30">
      <c r="B28" s="72"/>
      <c r="C28" s="1"/>
      <c r="D28" s="2"/>
      <c r="E28" s="31"/>
      <c r="F28" s="55"/>
      <c r="G28" s="55"/>
      <c r="H28" s="2"/>
      <c r="I28" s="2">
        <f>H28*D12</f>
        <v>0</v>
      </c>
      <c r="J28" s="55"/>
      <c r="K28" s="55"/>
      <c r="L28" s="2">
        <f t="shared" si="0"/>
        <v>27</v>
      </c>
      <c r="M28" s="2" t="s">
        <v>18</v>
      </c>
      <c r="N28" s="2">
        <f t="shared" si="1"/>
        <v>28</v>
      </c>
      <c r="O28" s="53"/>
      <c r="P28" s="53"/>
      <c r="Q28" s="1"/>
      <c r="R28" s="2">
        <f>Q28*D12</f>
        <v>0</v>
      </c>
      <c r="S28" s="53"/>
      <c r="T28" s="53"/>
      <c r="U28" s="31"/>
      <c r="V28" s="31"/>
      <c r="W28" s="1"/>
      <c r="X28" s="73"/>
      <c r="Z28" s="1" t="s">
        <v>130</v>
      </c>
      <c r="AA28" s="1" t="s">
        <v>131</v>
      </c>
    </row>
    <row r="29" spans="2:30">
      <c r="B29" s="72"/>
      <c r="C29" s="1"/>
      <c r="D29" s="2"/>
      <c r="E29" s="31"/>
      <c r="F29" s="55"/>
      <c r="G29" s="55"/>
      <c r="H29" s="55"/>
      <c r="I29" s="55"/>
      <c r="J29" s="2"/>
      <c r="K29" s="2">
        <f>J29*D12</f>
        <v>0</v>
      </c>
      <c r="L29" s="2">
        <f t="shared" si="0"/>
        <v>29</v>
      </c>
      <c r="M29" s="2" t="s">
        <v>185</v>
      </c>
      <c r="N29" s="2">
        <f t="shared" si="1"/>
        <v>30</v>
      </c>
      <c r="O29" s="53"/>
      <c r="P29" s="53"/>
      <c r="Q29" s="53"/>
      <c r="R29" s="53"/>
      <c r="S29" s="1"/>
      <c r="T29" s="2">
        <f>S29*D12</f>
        <v>0</v>
      </c>
      <c r="U29" s="31"/>
      <c r="V29" s="31"/>
      <c r="W29" s="1"/>
      <c r="X29" s="73"/>
      <c r="Z29" s="1" t="s">
        <v>121</v>
      </c>
      <c r="AA29" s="1" t="s">
        <v>125</v>
      </c>
    </row>
    <row r="30" spans="2:30">
      <c r="B30" s="72"/>
      <c r="C30" s="1"/>
      <c r="D30" s="2"/>
      <c r="E30" s="31"/>
      <c r="F30" s="2"/>
      <c r="G30" s="2">
        <f>F30*D12</f>
        <v>0</v>
      </c>
      <c r="H30" s="55"/>
      <c r="I30" s="55"/>
      <c r="J30" s="55"/>
      <c r="K30" s="55"/>
      <c r="L30" s="2">
        <f t="shared" si="0"/>
        <v>31</v>
      </c>
      <c r="M30" s="2" t="s">
        <v>167</v>
      </c>
      <c r="N30" s="2">
        <f t="shared" si="1"/>
        <v>32</v>
      </c>
      <c r="O30" s="1"/>
      <c r="P30" s="2">
        <f>O30*D12</f>
        <v>0</v>
      </c>
      <c r="Q30" s="53"/>
      <c r="R30" s="53"/>
      <c r="S30" s="53"/>
      <c r="T30" s="53"/>
      <c r="U30" s="31"/>
      <c r="V30" s="31"/>
      <c r="W30" s="1"/>
      <c r="X30" s="73"/>
      <c r="Z30" s="1" t="s">
        <v>135</v>
      </c>
      <c r="AA30" s="1" t="s">
        <v>136</v>
      </c>
    </row>
    <row r="31" spans="2:30">
      <c r="B31" s="72"/>
      <c r="C31" s="1"/>
      <c r="D31" s="2"/>
      <c r="E31" s="31"/>
      <c r="F31" s="55"/>
      <c r="G31" s="55"/>
      <c r="H31" s="2"/>
      <c r="I31" s="2">
        <f>H31*D12</f>
        <v>0</v>
      </c>
      <c r="J31" s="55"/>
      <c r="K31" s="55"/>
      <c r="L31" s="2">
        <f t="shared" si="0"/>
        <v>33</v>
      </c>
      <c r="M31" s="2" t="s">
        <v>18</v>
      </c>
      <c r="N31" s="2">
        <f t="shared" si="1"/>
        <v>34</v>
      </c>
      <c r="O31" s="53"/>
      <c r="P31" s="53"/>
      <c r="Q31" s="1"/>
      <c r="R31" s="2">
        <f>Q31*D12</f>
        <v>0</v>
      </c>
      <c r="S31" s="53"/>
      <c r="T31" s="53"/>
      <c r="U31" s="31"/>
      <c r="V31" s="31"/>
      <c r="W31" s="1"/>
      <c r="X31" s="73"/>
      <c r="Z31" s="29" t="s">
        <v>122</v>
      </c>
      <c r="AA31" s="1" t="s">
        <v>126</v>
      </c>
    </row>
    <row r="32" spans="2:30">
      <c r="B32" s="72"/>
      <c r="C32" s="1"/>
      <c r="D32" s="2"/>
      <c r="E32" s="31"/>
      <c r="F32" s="55"/>
      <c r="G32" s="55"/>
      <c r="H32" s="55"/>
      <c r="I32" s="55"/>
      <c r="J32" s="2"/>
      <c r="K32" s="2">
        <f>J32*D12</f>
        <v>0</v>
      </c>
      <c r="L32" s="2">
        <f t="shared" si="0"/>
        <v>35</v>
      </c>
      <c r="M32" s="2" t="s">
        <v>185</v>
      </c>
      <c r="N32" s="2">
        <f t="shared" si="1"/>
        <v>36</v>
      </c>
      <c r="O32" s="53"/>
      <c r="P32" s="53"/>
      <c r="Q32" s="53"/>
      <c r="R32" s="53"/>
      <c r="S32" s="1"/>
      <c r="T32" s="2">
        <f>S32*D12</f>
        <v>0</v>
      </c>
      <c r="U32" s="31"/>
      <c r="V32" s="31"/>
      <c r="W32" s="1"/>
      <c r="X32" s="73"/>
      <c r="Z32" s="29" t="s">
        <v>102</v>
      </c>
      <c r="AA32" s="1" t="s">
        <v>134</v>
      </c>
    </row>
    <row r="33" spans="2:27">
      <c r="B33" s="72"/>
      <c r="C33" s="1"/>
      <c r="D33" s="2"/>
      <c r="E33" s="31"/>
      <c r="F33" s="2"/>
      <c r="G33" s="2">
        <f>F33*D12</f>
        <v>0</v>
      </c>
      <c r="H33" s="55"/>
      <c r="I33" s="55"/>
      <c r="J33" s="55"/>
      <c r="K33" s="55"/>
      <c r="L33" s="2">
        <f t="shared" si="0"/>
        <v>37</v>
      </c>
      <c r="M33" s="2" t="s">
        <v>167</v>
      </c>
      <c r="N33" s="2">
        <f t="shared" si="1"/>
        <v>38</v>
      </c>
      <c r="O33" s="1"/>
      <c r="P33" s="2">
        <f>O33*D12</f>
        <v>0</v>
      </c>
      <c r="Q33" s="53"/>
      <c r="R33" s="53"/>
      <c r="S33" s="53"/>
      <c r="T33" s="53"/>
      <c r="U33" s="31"/>
      <c r="V33" s="31"/>
      <c r="W33" s="1"/>
      <c r="X33" s="73"/>
      <c r="Z33" s="1" t="s">
        <v>123</v>
      </c>
      <c r="AA33" s="1" t="s">
        <v>127</v>
      </c>
    </row>
    <row r="34" spans="2:27">
      <c r="B34" s="72"/>
      <c r="C34" s="1"/>
      <c r="D34" s="2"/>
      <c r="E34" s="31"/>
      <c r="F34" s="55"/>
      <c r="G34" s="55"/>
      <c r="H34" s="2"/>
      <c r="I34" s="2">
        <f>H34*D12</f>
        <v>0</v>
      </c>
      <c r="J34" s="55"/>
      <c r="K34" s="55"/>
      <c r="L34" s="2">
        <f t="shared" si="0"/>
        <v>39</v>
      </c>
      <c r="M34" s="2" t="s">
        <v>18</v>
      </c>
      <c r="N34" s="2">
        <f t="shared" si="1"/>
        <v>40</v>
      </c>
      <c r="O34" s="53"/>
      <c r="P34" s="53"/>
      <c r="Q34" s="1"/>
      <c r="R34" s="2">
        <f>Q34*D12</f>
        <v>0</v>
      </c>
      <c r="S34" s="53"/>
      <c r="T34" s="53"/>
      <c r="U34" s="31"/>
      <c r="V34" s="31"/>
      <c r="W34" s="1"/>
      <c r="X34" s="73"/>
    </row>
    <row r="35" spans="2:27">
      <c r="B35" s="72"/>
      <c r="C35" s="1"/>
      <c r="D35" s="2"/>
      <c r="E35" s="31"/>
      <c r="F35" s="2"/>
      <c r="G35" s="2"/>
      <c r="H35" s="2"/>
      <c r="I35" s="2"/>
      <c r="J35" s="2"/>
      <c r="K35" s="2">
        <f>J35*D12</f>
        <v>0</v>
      </c>
      <c r="L35" s="2">
        <f t="shared" si="0"/>
        <v>41</v>
      </c>
      <c r="M35" s="2" t="s">
        <v>185</v>
      </c>
      <c r="N35" s="2">
        <f t="shared" si="1"/>
        <v>42</v>
      </c>
      <c r="O35" s="53"/>
      <c r="P35" s="53"/>
      <c r="Q35" s="53"/>
      <c r="R35" s="53"/>
      <c r="S35" s="1"/>
      <c r="T35" s="2">
        <f>S35*D12</f>
        <v>0</v>
      </c>
      <c r="U35" s="31"/>
      <c r="V35" s="31"/>
      <c r="W35" s="1"/>
      <c r="X35" s="73"/>
    </row>
    <row r="36" spans="2:27" ht="13.5" thickBot="1">
      <c r="B36" s="74"/>
      <c r="C36" s="75"/>
      <c r="D36" s="76"/>
      <c r="E36" s="31"/>
      <c r="F36" s="76"/>
      <c r="G36" s="76"/>
      <c r="H36" s="76"/>
      <c r="I36" s="76"/>
      <c r="J36" s="76"/>
      <c r="K36" s="76"/>
      <c r="L36" s="76" t="s">
        <v>3</v>
      </c>
      <c r="M36" s="76"/>
      <c r="N36" s="76" t="s">
        <v>3</v>
      </c>
      <c r="O36" s="75"/>
      <c r="P36" s="75"/>
      <c r="Q36" s="75"/>
      <c r="R36" s="75"/>
      <c r="S36" s="75"/>
      <c r="T36" s="75"/>
      <c r="U36" s="31"/>
      <c r="V36" s="31"/>
      <c r="W36" s="75"/>
      <c r="X36" s="77"/>
    </row>
    <row r="37" spans="2:27">
      <c r="F37" s="5">
        <f t="shared" ref="F37:K37" si="2">SUM(F15:F36)</f>
        <v>69.400000000000006</v>
      </c>
      <c r="G37" s="5">
        <f t="shared" si="2"/>
        <v>8328</v>
      </c>
      <c r="H37" s="5">
        <f t="shared" si="2"/>
        <v>45</v>
      </c>
      <c r="I37" s="5">
        <f t="shared" si="2"/>
        <v>5400</v>
      </c>
      <c r="J37" s="5">
        <f t="shared" si="2"/>
        <v>33.4</v>
      </c>
      <c r="K37" s="5">
        <f t="shared" si="2"/>
        <v>4008</v>
      </c>
      <c r="O37" s="5">
        <f t="shared" ref="O37:T37" si="3">SUM(O15:O36)</f>
        <v>16.5</v>
      </c>
      <c r="P37" s="5">
        <f t="shared" si="3"/>
        <v>1980</v>
      </c>
      <c r="Q37" s="5">
        <f t="shared" si="3"/>
        <v>0</v>
      </c>
      <c r="R37" s="5">
        <f t="shared" si="3"/>
        <v>0</v>
      </c>
      <c r="S37" s="5">
        <f t="shared" si="3"/>
        <v>13.5</v>
      </c>
      <c r="T37" s="5">
        <f t="shared" si="3"/>
        <v>1620</v>
      </c>
    </row>
    <row r="39" spans="2:27">
      <c r="K39" s="2" t="s">
        <v>286</v>
      </c>
      <c r="L39" s="2">
        <f>G37+P37</f>
        <v>10308</v>
      </c>
      <c r="M39" s="2" t="s">
        <v>105</v>
      </c>
      <c r="N39" s="28">
        <f>L39/L42</f>
        <v>0.48312710911136109</v>
      </c>
    </row>
    <row r="40" spans="2:27">
      <c r="K40" s="2" t="s">
        <v>287</v>
      </c>
      <c r="L40" s="2">
        <f>I37+R37</f>
        <v>5400</v>
      </c>
      <c r="M40" s="2" t="s">
        <v>105</v>
      </c>
      <c r="N40" s="28">
        <f>L40/L42</f>
        <v>0.25309336332958382</v>
      </c>
    </row>
    <row r="41" spans="2:27">
      <c r="K41" s="2" t="s">
        <v>288</v>
      </c>
      <c r="L41" s="2">
        <f>K37+T37</f>
        <v>5628</v>
      </c>
      <c r="M41" s="2" t="s">
        <v>105</v>
      </c>
      <c r="N41" s="28">
        <f>L41/L42</f>
        <v>0.26377952755905509</v>
      </c>
    </row>
    <row r="42" spans="2:27">
      <c r="L42" s="5">
        <f>SUM(L39:L41)</f>
        <v>21336</v>
      </c>
      <c r="M42" s="5" t="s">
        <v>105</v>
      </c>
    </row>
    <row r="43" spans="2:27">
      <c r="L43" s="5">
        <f>L42/L12</f>
        <v>59.266666666666666</v>
      </c>
      <c r="M43" s="5" t="s">
        <v>106</v>
      </c>
    </row>
    <row r="44" spans="2:27">
      <c r="L44" s="5">
        <f>L43/0.8</f>
        <v>74.083333333333329</v>
      </c>
      <c r="M44" s="64">
        <v>0.2</v>
      </c>
    </row>
    <row r="45" spans="2:27">
      <c r="K45" s="5" t="s">
        <v>289</v>
      </c>
      <c r="L45" s="5">
        <v>175</v>
      </c>
      <c r="M45" s="5" t="s">
        <v>106</v>
      </c>
    </row>
    <row r="47" spans="2:27" ht="13.5" thickBot="1"/>
    <row r="48" spans="2:27">
      <c r="B48" s="253" t="s">
        <v>292</v>
      </c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5"/>
    </row>
    <row r="49" spans="2:24">
      <c r="B49" s="256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8"/>
    </row>
    <row r="50" spans="2:24">
      <c r="B50" s="256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8"/>
    </row>
    <row r="51" spans="2:24" ht="13.5" thickBot="1">
      <c r="B51" s="256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8"/>
    </row>
    <row r="52" spans="2:24">
      <c r="B52" s="65"/>
      <c r="C52" s="66"/>
      <c r="D52" s="263" t="s">
        <v>280</v>
      </c>
      <c r="E52" s="263"/>
      <c r="F52" s="263" t="s">
        <v>285</v>
      </c>
      <c r="G52" s="263"/>
      <c r="H52" s="67"/>
      <c r="I52" s="263" t="s">
        <v>107</v>
      </c>
      <c r="J52" s="263"/>
      <c r="K52" s="67"/>
      <c r="L52" s="67" t="s">
        <v>291</v>
      </c>
      <c r="M52" s="67"/>
      <c r="N52" s="67"/>
      <c r="O52" s="66" t="s">
        <v>293</v>
      </c>
      <c r="P52" s="66"/>
      <c r="Q52" s="66"/>
      <c r="R52" s="66"/>
      <c r="S52" s="66"/>
      <c r="T52" s="66"/>
      <c r="U52" s="66"/>
      <c r="V52" s="66"/>
      <c r="W52" s="66"/>
      <c r="X52" s="68"/>
    </row>
    <row r="53" spans="2:24">
      <c r="B53" s="69"/>
      <c r="C53" s="23"/>
      <c r="D53" s="2">
        <v>120</v>
      </c>
      <c r="E53" s="2">
        <v>208</v>
      </c>
      <c r="F53" s="240">
        <v>3</v>
      </c>
      <c r="G53" s="240"/>
      <c r="H53" s="70"/>
      <c r="I53" s="240" t="s">
        <v>238</v>
      </c>
      <c r="J53" s="240"/>
      <c r="K53" s="70"/>
      <c r="L53" s="70">
        <f>3*D53</f>
        <v>360</v>
      </c>
      <c r="M53" s="70"/>
      <c r="N53" s="70"/>
      <c r="O53" s="23"/>
      <c r="P53" s="23"/>
      <c r="Q53" s="23"/>
      <c r="R53" s="23"/>
      <c r="S53" s="23"/>
      <c r="T53" s="23"/>
      <c r="U53" s="23"/>
      <c r="V53" s="23"/>
      <c r="W53" s="23"/>
      <c r="X53" s="71"/>
    </row>
    <row r="54" spans="2:24">
      <c r="B54" s="261" t="s">
        <v>276</v>
      </c>
      <c r="C54" s="262" t="s">
        <v>168</v>
      </c>
      <c r="D54" s="262" t="s">
        <v>107</v>
      </c>
      <c r="E54" s="262" t="s">
        <v>273</v>
      </c>
      <c r="F54" s="240" t="s">
        <v>274</v>
      </c>
      <c r="G54" s="240"/>
      <c r="H54" s="240"/>
      <c r="I54" s="240"/>
      <c r="J54" s="240"/>
      <c r="K54" s="240"/>
      <c r="L54" s="262" t="s">
        <v>275</v>
      </c>
      <c r="M54" s="262"/>
      <c r="N54" s="262"/>
      <c r="O54" s="240" t="s">
        <v>274</v>
      </c>
      <c r="P54" s="240"/>
      <c r="Q54" s="240"/>
      <c r="R54" s="240"/>
      <c r="S54" s="240"/>
      <c r="T54" s="240"/>
      <c r="U54" s="262" t="s">
        <v>273</v>
      </c>
      <c r="V54" s="262" t="s">
        <v>107</v>
      </c>
      <c r="W54" s="262" t="s">
        <v>168</v>
      </c>
      <c r="X54" s="260" t="s">
        <v>276</v>
      </c>
    </row>
    <row r="55" spans="2:24">
      <c r="B55" s="261"/>
      <c r="C55" s="262"/>
      <c r="D55" s="262"/>
      <c r="E55" s="262"/>
      <c r="F55" s="2" t="s">
        <v>278</v>
      </c>
      <c r="G55" s="2" t="s">
        <v>279</v>
      </c>
      <c r="H55" s="2" t="s">
        <v>281</v>
      </c>
      <c r="I55" s="2" t="s">
        <v>282</v>
      </c>
      <c r="J55" s="2" t="s">
        <v>283</v>
      </c>
      <c r="K55" s="2" t="s">
        <v>284</v>
      </c>
      <c r="L55" s="262"/>
      <c r="M55" s="262"/>
      <c r="N55" s="262"/>
      <c r="O55" s="2" t="s">
        <v>278</v>
      </c>
      <c r="P55" s="2" t="s">
        <v>279</v>
      </c>
      <c r="Q55" s="2" t="s">
        <v>281</v>
      </c>
      <c r="R55" s="2" t="s">
        <v>282</v>
      </c>
      <c r="S55" s="2" t="s">
        <v>283</v>
      </c>
      <c r="T55" s="2" t="s">
        <v>284</v>
      </c>
      <c r="U55" s="262"/>
      <c r="V55" s="262"/>
      <c r="W55" s="262"/>
      <c r="X55" s="260"/>
    </row>
    <row r="56" spans="2:24">
      <c r="B56" s="72">
        <v>6</v>
      </c>
      <c r="C56" s="1" t="s">
        <v>137</v>
      </c>
      <c r="D56" s="2">
        <v>60</v>
      </c>
      <c r="E56" s="31">
        <v>2</v>
      </c>
      <c r="F56" s="2">
        <v>59</v>
      </c>
      <c r="G56" s="2">
        <f>F56*D53</f>
        <v>7080</v>
      </c>
      <c r="H56" s="55" t="s">
        <v>3</v>
      </c>
      <c r="I56" s="55"/>
      <c r="J56" s="55"/>
      <c r="K56" s="55"/>
      <c r="L56" s="2">
        <v>1</v>
      </c>
      <c r="M56" s="2" t="s">
        <v>167</v>
      </c>
      <c r="N56" s="2">
        <v>2</v>
      </c>
      <c r="O56" s="2">
        <v>59</v>
      </c>
      <c r="P56" s="2">
        <f>O56*D53</f>
        <v>7080</v>
      </c>
      <c r="Q56" s="55"/>
      <c r="R56" s="55"/>
      <c r="S56" s="55" t="s">
        <v>3</v>
      </c>
      <c r="T56" s="53"/>
      <c r="U56" s="31">
        <v>2</v>
      </c>
      <c r="V56" s="31">
        <v>60</v>
      </c>
      <c r="W56" s="1" t="s">
        <v>137</v>
      </c>
      <c r="X56" s="73">
        <v>6</v>
      </c>
    </row>
    <row r="57" spans="2:24">
      <c r="B57" s="72">
        <v>6</v>
      </c>
      <c r="C57" s="1" t="s">
        <v>137</v>
      </c>
      <c r="D57" s="2">
        <v>60</v>
      </c>
      <c r="E57" s="31"/>
      <c r="F57" s="55"/>
      <c r="G57" s="55"/>
      <c r="H57" s="2">
        <v>59</v>
      </c>
      <c r="I57" s="2">
        <f>H57*D53</f>
        <v>7080</v>
      </c>
      <c r="J57" s="55"/>
      <c r="K57" s="55"/>
      <c r="L57" s="2">
        <v>3</v>
      </c>
      <c r="M57" s="2" t="s">
        <v>18</v>
      </c>
      <c r="N57" s="2">
        <v>4</v>
      </c>
      <c r="O57" s="53"/>
      <c r="P57" s="53"/>
      <c r="Q57" s="1">
        <v>59</v>
      </c>
      <c r="R57" s="2">
        <f>Q57*D53</f>
        <v>7080</v>
      </c>
      <c r="S57" s="55" t="s">
        <v>3</v>
      </c>
      <c r="T57" s="53"/>
      <c r="U57" s="31"/>
      <c r="V57" s="31"/>
      <c r="W57" s="1" t="s">
        <v>137</v>
      </c>
      <c r="X57" s="73">
        <v>6</v>
      </c>
    </row>
    <row r="58" spans="2:24">
      <c r="B58" s="72">
        <v>10</v>
      </c>
      <c r="C58" s="1" t="s">
        <v>277</v>
      </c>
      <c r="D58" s="2">
        <v>30</v>
      </c>
      <c r="E58" s="31">
        <v>2</v>
      </c>
      <c r="F58" s="2"/>
      <c r="G58" s="2"/>
      <c r="H58" s="2"/>
      <c r="I58" s="2"/>
      <c r="J58" s="2">
        <v>25</v>
      </c>
      <c r="K58" s="2">
        <f>J58*D53</f>
        <v>3000</v>
      </c>
      <c r="L58" s="2">
        <v>5</v>
      </c>
      <c r="M58" s="2" t="s">
        <v>185</v>
      </c>
      <c r="N58" s="2">
        <v>6</v>
      </c>
      <c r="O58" s="53"/>
      <c r="P58" s="53"/>
      <c r="Q58" s="53"/>
      <c r="R58" s="53"/>
      <c r="S58" s="1">
        <v>12</v>
      </c>
      <c r="T58" s="2">
        <f>S58*D53</f>
        <v>1440</v>
      </c>
      <c r="U58" s="31">
        <v>1</v>
      </c>
      <c r="V58" s="31">
        <v>20</v>
      </c>
      <c r="W58" s="1" t="s">
        <v>104</v>
      </c>
      <c r="X58" s="73">
        <v>12</v>
      </c>
    </row>
    <row r="59" spans="2:24">
      <c r="B59" s="72">
        <v>10</v>
      </c>
      <c r="C59" s="1" t="s">
        <v>277</v>
      </c>
      <c r="D59" s="2">
        <v>30</v>
      </c>
      <c r="E59" s="31"/>
      <c r="F59" s="2">
        <v>25</v>
      </c>
      <c r="G59" s="2">
        <f>F59*D53</f>
        <v>3000</v>
      </c>
      <c r="H59" s="55"/>
      <c r="I59" s="55"/>
      <c r="J59" s="55"/>
      <c r="K59" s="55"/>
      <c r="L59" s="2">
        <v>7</v>
      </c>
      <c r="M59" s="2" t="s">
        <v>167</v>
      </c>
      <c r="N59" s="2">
        <v>8</v>
      </c>
      <c r="O59" s="1"/>
      <c r="P59" s="2">
        <f>O59*D53</f>
        <v>0</v>
      </c>
      <c r="Q59" s="53"/>
      <c r="R59" s="53"/>
      <c r="S59" s="53"/>
      <c r="T59" s="53"/>
      <c r="U59" s="31"/>
      <c r="V59" s="31" t="s">
        <v>3</v>
      </c>
      <c r="W59" s="1" t="s">
        <v>3</v>
      </c>
      <c r="X59" s="73"/>
    </row>
    <row r="60" spans="2:24">
      <c r="B60" s="72"/>
      <c r="C60" s="1"/>
      <c r="D60" s="2"/>
      <c r="E60" s="31"/>
      <c r="F60" s="55"/>
      <c r="G60" s="55"/>
      <c r="H60" s="2"/>
      <c r="I60" s="2">
        <f>H60*D53</f>
        <v>0</v>
      </c>
      <c r="J60" s="55"/>
      <c r="K60" s="55"/>
      <c r="L60" s="2">
        <v>9</v>
      </c>
      <c r="M60" s="2" t="s">
        <v>18</v>
      </c>
      <c r="N60" s="2">
        <v>10</v>
      </c>
      <c r="O60" s="53"/>
      <c r="P60" s="53"/>
      <c r="Q60" s="1"/>
      <c r="R60" s="2">
        <f>Q60*D53</f>
        <v>0</v>
      </c>
      <c r="S60" s="53"/>
      <c r="T60" s="53"/>
      <c r="U60" s="31"/>
      <c r="V60" s="31"/>
      <c r="W60" s="1"/>
      <c r="X60" s="73"/>
    </row>
    <row r="61" spans="2:24">
      <c r="B61" s="72">
        <v>12</v>
      </c>
      <c r="C61" s="1" t="s">
        <v>266</v>
      </c>
      <c r="D61" s="2">
        <v>20</v>
      </c>
      <c r="E61" s="31">
        <v>1</v>
      </c>
      <c r="F61" s="55"/>
      <c r="G61" s="55"/>
      <c r="H61" s="55"/>
      <c r="I61" s="55"/>
      <c r="J61" s="2">
        <f>7*1.5</f>
        <v>10.5</v>
      </c>
      <c r="K61" s="2">
        <f>J61*D53</f>
        <v>1260</v>
      </c>
      <c r="L61" s="2">
        <v>11</v>
      </c>
      <c r="M61" s="2" t="s">
        <v>185</v>
      </c>
      <c r="N61" s="2">
        <v>12</v>
      </c>
      <c r="O61" s="53"/>
      <c r="P61" s="53"/>
      <c r="Q61" s="53"/>
      <c r="R61" s="53"/>
      <c r="S61" s="1">
        <v>1.5</v>
      </c>
      <c r="T61" s="2">
        <f>S61*D53</f>
        <v>180</v>
      </c>
      <c r="U61" s="31"/>
      <c r="V61" s="31"/>
      <c r="W61" s="1" t="s">
        <v>290</v>
      </c>
      <c r="X61" s="73"/>
    </row>
    <row r="62" spans="2:24">
      <c r="B62" s="72">
        <v>12</v>
      </c>
      <c r="C62" s="1" t="s">
        <v>290</v>
      </c>
      <c r="D62" s="2">
        <v>20</v>
      </c>
      <c r="E62" s="31">
        <v>1</v>
      </c>
      <c r="F62" s="2">
        <v>1.5</v>
      </c>
      <c r="G62" s="2">
        <f>F62*D53</f>
        <v>180</v>
      </c>
      <c r="H62" s="55"/>
      <c r="I62" s="55"/>
      <c r="J62" s="55"/>
      <c r="K62" s="55"/>
      <c r="L62" s="2">
        <v>13</v>
      </c>
      <c r="M62" s="2" t="s">
        <v>167</v>
      </c>
      <c r="N62" s="2">
        <v>14</v>
      </c>
      <c r="O62" s="1">
        <f>11*1.5</f>
        <v>16.5</v>
      </c>
      <c r="P62" s="2">
        <f>O62*D53</f>
        <v>1980</v>
      </c>
      <c r="Q62" s="53"/>
      <c r="R62" s="53"/>
      <c r="S62" s="53"/>
      <c r="T62" s="53"/>
      <c r="U62" s="31">
        <v>1</v>
      </c>
      <c r="V62" s="31">
        <v>20</v>
      </c>
      <c r="W62" s="1" t="s">
        <v>266</v>
      </c>
      <c r="X62" s="73"/>
    </row>
    <row r="63" spans="2:24">
      <c r="B63" s="72"/>
      <c r="C63" s="1"/>
      <c r="D63" s="2"/>
      <c r="E63" s="31"/>
      <c r="F63" s="55"/>
      <c r="G63" s="55"/>
      <c r="H63" s="2"/>
      <c r="I63" s="2">
        <f>H63*D53</f>
        <v>0</v>
      </c>
      <c r="J63" s="55"/>
      <c r="K63" s="55"/>
      <c r="L63" s="2">
        <v>15</v>
      </c>
      <c r="M63" s="2" t="s">
        <v>18</v>
      </c>
      <c r="N63" s="2">
        <v>16</v>
      </c>
      <c r="O63" s="53"/>
      <c r="P63" s="53"/>
      <c r="Q63" s="1"/>
      <c r="R63" s="2">
        <f>Q63*D53</f>
        <v>0</v>
      </c>
      <c r="S63" s="53"/>
      <c r="T63" s="53"/>
      <c r="U63" s="31"/>
      <c r="V63" s="31"/>
      <c r="W63" s="1"/>
      <c r="X63" s="73"/>
    </row>
    <row r="64" spans="2:24">
      <c r="B64" s="72"/>
      <c r="C64" s="1"/>
      <c r="D64" s="2"/>
      <c r="E64" s="31"/>
      <c r="F64" s="55"/>
      <c r="G64" s="55"/>
      <c r="H64" s="55"/>
      <c r="I64" s="55"/>
      <c r="J64" s="2"/>
      <c r="K64" s="2">
        <f>J64*D53</f>
        <v>0</v>
      </c>
      <c r="L64" s="2">
        <v>17</v>
      </c>
      <c r="M64" s="2" t="s">
        <v>185</v>
      </c>
      <c r="N64" s="2">
        <v>18</v>
      </c>
      <c r="O64" s="53"/>
      <c r="P64" s="53"/>
      <c r="Q64" s="53"/>
      <c r="R64" s="53"/>
      <c r="S64" s="1"/>
      <c r="T64" s="2">
        <f>S64*D53</f>
        <v>0</v>
      </c>
      <c r="U64" s="31"/>
      <c r="V64" s="31"/>
      <c r="W64" s="1"/>
      <c r="X64" s="73"/>
    </row>
    <row r="65" spans="2:24">
      <c r="B65" s="72"/>
      <c r="C65" s="1"/>
      <c r="D65" s="2"/>
      <c r="E65" s="31"/>
      <c r="F65" s="2"/>
      <c r="G65" s="2">
        <f>F65*D53</f>
        <v>0</v>
      </c>
      <c r="H65" s="55"/>
      <c r="I65" s="55"/>
      <c r="J65" s="55"/>
      <c r="K65" s="55"/>
      <c r="L65" s="2">
        <f>L64+2</f>
        <v>19</v>
      </c>
      <c r="M65" s="2" t="s">
        <v>167</v>
      </c>
      <c r="N65" s="2">
        <f>N64+2</f>
        <v>20</v>
      </c>
      <c r="O65" s="1"/>
      <c r="P65" s="2">
        <f>O65*D53</f>
        <v>0</v>
      </c>
      <c r="Q65" s="53"/>
      <c r="R65" s="53"/>
      <c r="S65" s="53"/>
      <c r="T65" s="53"/>
      <c r="U65" s="31"/>
      <c r="V65" s="31"/>
      <c r="W65" s="1"/>
      <c r="X65" s="73"/>
    </row>
    <row r="66" spans="2:24">
      <c r="B66" s="72"/>
      <c r="C66" s="1"/>
      <c r="D66" s="2"/>
      <c r="E66" s="31"/>
      <c r="F66" s="55"/>
      <c r="G66" s="55"/>
      <c r="H66" s="2"/>
      <c r="I66" s="2">
        <f>H66*D53</f>
        <v>0</v>
      </c>
      <c r="J66" s="55"/>
      <c r="K66" s="55"/>
      <c r="L66" s="2">
        <f t="shared" ref="L66:L76" si="4">L65+2</f>
        <v>21</v>
      </c>
      <c r="M66" s="2" t="s">
        <v>18</v>
      </c>
      <c r="N66" s="2">
        <f t="shared" ref="N66:N76" si="5">N65+2</f>
        <v>22</v>
      </c>
      <c r="O66" s="53"/>
      <c r="P66" s="53"/>
      <c r="Q66" s="1"/>
      <c r="R66" s="2">
        <f>Q66*D53</f>
        <v>0</v>
      </c>
      <c r="S66" s="53"/>
      <c r="T66" s="53"/>
      <c r="U66" s="31"/>
      <c r="V66" s="31"/>
      <c r="W66" s="1"/>
      <c r="X66" s="73"/>
    </row>
    <row r="67" spans="2:24">
      <c r="B67" s="72"/>
      <c r="C67" s="1"/>
      <c r="D67" s="2"/>
      <c r="E67" s="31"/>
      <c r="F67" s="55"/>
      <c r="G67" s="55"/>
      <c r="H67" s="55"/>
      <c r="I67" s="55"/>
      <c r="J67" s="2"/>
      <c r="K67" s="2">
        <f>J67*D53</f>
        <v>0</v>
      </c>
      <c r="L67" s="2">
        <f t="shared" si="4"/>
        <v>23</v>
      </c>
      <c r="M67" s="2" t="s">
        <v>185</v>
      </c>
      <c r="N67" s="2">
        <f t="shared" si="5"/>
        <v>24</v>
      </c>
      <c r="O67" s="53"/>
      <c r="P67" s="53"/>
      <c r="Q67" s="53"/>
      <c r="R67" s="53"/>
      <c r="S67" s="1"/>
      <c r="T67" s="2">
        <f>S67*D53</f>
        <v>0</v>
      </c>
      <c r="U67" s="31"/>
      <c r="V67" s="31"/>
      <c r="W67" s="1"/>
      <c r="X67" s="73"/>
    </row>
    <row r="68" spans="2:24">
      <c r="B68" s="72"/>
      <c r="C68" s="1"/>
      <c r="D68" s="2"/>
      <c r="E68" s="31"/>
      <c r="F68" s="2"/>
      <c r="G68" s="2">
        <f>F68*D53</f>
        <v>0</v>
      </c>
      <c r="H68" s="55"/>
      <c r="I68" s="55"/>
      <c r="J68" s="55"/>
      <c r="K68" s="55"/>
      <c r="L68" s="2">
        <f t="shared" si="4"/>
        <v>25</v>
      </c>
      <c r="M68" s="2" t="s">
        <v>167</v>
      </c>
      <c r="N68" s="2">
        <f t="shared" si="5"/>
        <v>26</v>
      </c>
      <c r="O68" s="1"/>
      <c r="P68" s="2">
        <f>O68*D53</f>
        <v>0</v>
      </c>
      <c r="Q68" s="53"/>
      <c r="R68" s="53"/>
      <c r="S68" s="53"/>
      <c r="T68" s="53"/>
      <c r="U68" s="31"/>
      <c r="V68" s="31"/>
      <c r="W68" s="1"/>
      <c r="X68" s="73"/>
    </row>
    <row r="69" spans="2:24">
      <c r="B69" s="72"/>
      <c r="C69" s="1"/>
      <c r="D69" s="2"/>
      <c r="E69" s="31"/>
      <c r="F69" s="55"/>
      <c r="G69" s="55"/>
      <c r="H69" s="2"/>
      <c r="I69" s="2">
        <f>H69*D53</f>
        <v>0</v>
      </c>
      <c r="J69" s="55"/>
      <c r="K69" s="55"/>
      <c r="L69" s="2">
        <f t="shared" si="4"/>
        <v>27</v>
      </c>
      <c r="M69" s="2" t="s">
        <v>18</v>
      </c>
      <c r="N69" s="2">
        <f t="shared" si="5"/>
        <v>28</v>
      </c>
      <c r="O69" s="53"/>
      <c r="P69" s="53"/>
      <c r="Q69" s="1"/>
      <c r="R69" s="2">
        <f>Q69*D53</f>
        <v>0</v>
      </c>
      <c r="S69" s="53"/>
      <c r="T69" s="53"/>
      <c r="U69" s="31"/>
      <c r="V69" s="31"/>
      <c r="W69" s="1"/>
      <c r="X69" s="73"/>
    </row>
    <row r="70" spans="2:24">
      <c r="B70" s="72"/>
      <c r="C70" s="1"/>
      <c r="D70" s="2"/>
      <c r="E70" s="31"/>
      <c r="F70" s="55"/>
      <c r="G70" s="55"/>
      <c r="H70" s="55"/>
      <c r="I70" s="55"/>
      <c r="J70" s="2"/>
      <c r="K70" s="2">
        <f>J70*D53</f>
        <v>0</v>
      </c>
      <c r="L70" s="2">
        <f t="shared" si="4"/>
        <v>29</v>
      </c>
      <c r="M70" s="2" t="s">
        <v>185</v>
      </c>
      <c r="N70" s="2">
        <f t="shared" si="5"/>
        <v>30</v>
      </c>
      <c r="O70" s="53"/>
      <c r="P70" s="53"/>
      <c r="Q70" s="53"/>
      <c r="R70" s="53"/>
      <c r="S70" s="1"/>
      <c r="T70" s="2">
        <f>S70*D53</f>
        <v>0</v>
      </c>
      <c r="U70" s="31"/>
      <c r="V70" s="31"/>
      <c r="W70" s="1"/>
      <c r="X70" s="73"/>
    </row>
    <row r="71" spans="2:24">
      <c r="B71" s="72"/>
      <c r="C71" s="1"/>
      <c r="D71" s="2"/>
      <c r="E71" s="31"/>
      <c r="F71" s="2"/>
      <c r="G71" s="2">
        <f>F71*D53</f>
        <v>0</v>
      </c>
      <c r="H71" s="55"/>
      <c r="I71" s="55"/>
      <c r="J71" s="55"/>
      <c r="K71" s="55"/>
      <c r="L71" s="2">
        <f t="shared" si="4"/>
        <v>31</v>
      </c>
      <c r="M71" s="2" t="s">
        <v>167</v>
      </c>
      <c r="N71" s="2">
        <f t="shared" si="5"/>
        <v>32</v>
      </c>
      <c r="O71" s="1"/>
      <c r="P71" s="2">
        <f>O71*D53</f>
        <v>0</v>
      </c>
      <c r="Q71" s="53"/>
      <c r="R71" s="53"/>
      <c r="S71" s="53"/>
      <c r="T71" s="53"/>
      <c r="U71" s="31"/>
      <c r="V71" s="31"/>
      <c r="W71" s="1"/>
      <c r="X71" s="73"/>
    </row>
    <row r="72" spans="2:24">
      <c r="B72" s="72"/>
      <c r="C72" s="1"/>
      <c r="D72" s="2"/>
      <c r="E72" s="31"/>
      <c r="F72" s="55"/>
      <c r="G72" s="55"/>
      <c r="H72" s="2"/>
      <c r="I72" s="2">
        <f>H72*D53</f>
        <v>0</v>
      </c>
      <c r="J72" s="55"/>
      <c r="K72" s="55"/>
      <c r="L72" s="2">
        <f t="shared" si="4"/>
        <v>33</v>
      </c>
      <c r="M72" s="2" t="s">
        <v>18</v>
      </c>
      <c r="N72" s="2">
        <f t="shared" si="5"/>
        <v>34</v>
      </c>
      <c r="O72" s="53"/>
      <c r="P72" s="53"/>
      <c r="Q72" s="1"/>
      <c r="R72" s="2">
        <f>Q72*D53</f>
        <v>0</v>
      </c>
      <c r="S72" s="53"/>
      <c r="T72" s="53"/>
      <c r="U72" s="31"/>
      <c r="V72" s="31"/>
      <c r="W72" s="1"/>
      <c r="X72" s="73"/>
    </row>
    <row r="73" spans="2:24">
      <c r="B73" s="72"/>
      <c r="C73" s="1"/>
      <c r="D73" s="2"/>
      <c r="E73" s="31"/>
      <c r="F73" s="55"/>
      <c r="G73" s="55"/>
      <c r="H73" s="55"/>
      <c r="I73" s="55"/>
      <c r="J73" s="2"/>
      <c r="K73" s="2">
        <f>J73*D53</f>
        <v>0</v>
      </c>
      <c r="L73" s="2">
        <f t="shared" si="4"/>
        <v>35</v>
      </c>
      <c r="M73" s="2" t="s">
        <v>185</v>
      </c>
      <c r="N73" s="2">
        <f t="shared" si="5"/>
        <v>36</v>
      </c>
      <c r="O73" s="53"/>
      <c r="P73" s="53"/>
      <c r="Q73" s="53"/>
      <c r="R73" s="53"/>
      <c r="S73" s="1"/>
      <c r="T73" s="2">
        <f>S73*D53</f>
        <v>0</v>
      </c>
      <c r="U73" s="31"/>
      <c r="V73" s="31"/>
      <c r="W73" s="1"/>
      <c r="X73" s="73"/>
    </row>
    <row r="74" spans="2:24">
      <c r="B74" s="72"/>
      <c r="C74" s="1"/>
      <c r="D74" s="2"/>
      <c r="E74" s="31"/>
      <c r="F74" s="2"/>
      <c r="G74" s="2">
        <f>F74*D53</f>
        <v>0</v>
      </c>
      <c r="H74" s="55"/>
      <c r="I74" s="55"/>
      <c r="J74" s="55"/>
      <c r="K74" s="55"/>
      <c r="L74" s="2">
        <f t="shared" si="4"/>
        <v>37</v>
      </c>
      <c r="M74" s="2" t="s">
        <v>167</v>
      </c>
      <c r="N74" s="2">
        <f t="shared" si="5"/>
        <v>38</v>
      </c>
      <c r="O74" s="1"/>
      <c r="P74" s="2">
        <f>O74*D53</f>
        <v>0</v>
      </c>
      <c r="Q74" s="53"/>
      <c r="R74" s="53"/>
      <c r="S74" s="53"/>
      <c r="T74" s="53"/>
      <c r="U74" s="31"/>
      <c r="V74" s="31"/>
      <c r="W74" s="1"/>
      <c r="X74" s="73"/>
    </row>
    <row r="75" spans="2:24">
      <c r="B75" s="72"/>
      <c r="C75" s="1"/>
      <c r="D75" s="2"/>
      <c r="E75" s="31"/>
      <c r="F75" s="55"/>
      <c r="G75" s="55"/>
      <c r="H75" s="2"/>
      <c r="I75" s="2">
        <f>H75*D53</f>
        <v>0</v>
      </c>
      <c r="J75" s="55"/>
      <c r="K75" s="55"/>
      <c r="L75" s="2">
        <f t="shared" si="4"/>
        <v>39</v>
      </c>
      <c r="M75" s="2" t="s">
        <v>18</v>
      </c>
      <c r="N75" s="2">
        <f t="shared" si="5"/>
        <v>40</v>
      </c>
      <c r="O75" s="53"/>
      <c r="P75" s="53"/>
      <c r="Q75" s="1"/>
      <c r="R75" s="2">
        <f>Q75*D53</f>
        <v>0</v>
      </c>
      <c r="S75" s="53"/>
      <c r="T75" s="53"/>
      <c r="U75" s="31"/>
      <c r="V75" s="31"/>
      <c r="W75" s="1"/>
      <c r="X75" s="73"/>
    </row>
    <row r="76" spans="2:24">
      <c r="B76" s="72"/>
      <c r="C76" s="1"/>
      <c r="D76" s="2"/>
      <c r="E76" s="31"/>
      <c r="F76" s="2"/>
      <c r="G76" s="2"/>
      <c r="H76" s="2"/>
      <c r="I76" s="2"/>
      <c r="J76" s="2"/>
      <c r="K76" s="2">
        <f>J76*D53</f>
        <v>0</v>
      </c>
      <c r="L76" s="2">
        <f t="shared" si="4"/>
        <v>41</v>
      </c>
      <c r="M76" s="2" t="s">
        <v>185</v>
      </c>
      <c r="N76" s="2">
        <f t="shared" si="5"/>
        <v>42</v>
      </c>
      <c r="O76" s="53"/>
      <c r="P76" s="53"/>
      <c r="Q76" s="53"/>
      <c r="R76" s="53"/>
      <c r="S76" s="1"/>
      <c r="T76" s="2">
        <f>S76*D53</f>
        <v>0</v>
      </c>
      <c r="U76" s="31"/>
      <c r="V76" s="31"/>
      <c r="W76" s="1"/>
      <c r="X76" s="73"/>
    </row>
    <row r="77" spans="2:24" ht="13.5" thickBot="1">
      <c r="B77" s="74"/>
      <c r="C77" s="75"/>
      <c r="D77" s="76"/>
      <c r="E77" s="31"/>
      <c r="F77" s="76"/>
      <c r="G77" s="76"/>
      <c r="H77" s="76"/>
      <c r="I77" s="76"/>
      <c r="J77" s="76"/>
      <c r="K77" s="76"/>
      <c r="L77" s="76" t="s">
        <v>3</v>
      </c>
      <c r="M77" s="76"/>
      <c r="N77" s="76" t="s">
        <v>3</v>
      </c>
      <c r="O77" s="75"/>
      <c r="P77" s="75"/>
      <c r="Q77" s="75"/>
      <c r="R77" s="75"/>
      <c r="S77" s="75"/>
      <c r="T77" s="75"/>
      <c r="U77" s="31"/>
      <c r="V77" s="31"/>
      <c r="W77" s="75"/>
      <c r="X77" s="77"/>
    </row>
    <row r="78" spans="2:24">
      <c r="F78" s="5">
        <f t="shared" ref="F78:K78" si="6">SUM(F56:F77)</f>
        <v>85.5</v>
      </c>
      <c r="G78" s="5">
        <f t="shared" si="6"/>
        <v>10260</v>
      </c>
      <c r="H78" s="5">
        <f t="shared" si="6"/>
        <v>59</v>
      </c>
      <c r="I78" s="5">
        <f t="shared" si="6"/>
        <v>7080</v>
      </c>
      <c r="J78" s="5">
        <f t="shared" si="6"/>
        <v>35.5</v>
      </c>
      <c r="K78" s="5">
        <f t="shared" si="6"/>
        <v>4260</v>
      </c>
      <c r="O78" s="5">
        <f t="shared" ref="O78:T78" si="7">SUM(O56:O77)</f>
        <v>75.5</v>
      </c>
      <c r="P78" s="5">
        <f t="shared" si="7"/>
        <v>9060</v>
      </c>
      <c r="Q78" s="5">
        <f t="shared" si="7"/>
        <v>59</v>
      </c>
      <c r="R78" s="5">
        <f t="shared" si="7"/>
        <v>7080</v>
      </c>
      <c r="S78" s="5">
        <f t="shared" si="7"/>
        <v>13.5</v>
      </c>
      <c r="T78" s="5">
        <f t="shared" si="7"/>
        <v>1620</v>
      </c>
    </row>
    <row r="80" spans="2:24">
      <c r="K80" s="2" t="s">
        <v>286</v>
      </c>
      <c r="L80" s="2">
        <f>G78+P78</f>
        <v>19320</v>
      </c>
      <c r="M80" s="2" t="s">
        <v>105</v>
      </c>
      <c r="N80" s="28">
        <f>L80/L83</f>
        <v>0.49085365853658536</v>
      </c>
    </row>
    <row r="81" spans="2:24">
      <c r="K81" s="2" t="s">
        <v>287</v>
      </c>
      <c r="L81" s="2">
        <f>I78+R78</f>
        <v>14160</v>
      </c>
      <c r="M81" s="2" t="s">
        <v>105</v>
      </c>
      <c r="N81" s="28">
        <f>L81/L83</f>
        <v>0.3597560975609756</v>
      </c>
    </row>
    <row r="82" spans="2:24">
      <c r="K82" s="2" t="s">
        <v>288</v>
      </c>
      <c r="L82" s="2">
        <f>K78+T78</f>
        <v>5880</v>
      </c>
      <c r="M82" s="2" t="s">
        <v>105</v>
      </c>
      <c r="N82" s="28">
        <f>L82/L83</f>
        <v>0.14939024390243902</v>
      </c>
    </row>
    <row r="83" spans="2:24">
      <c r="L83" s="5">
        <f>SUM(L80:L82)</f>
        <v>39360</v>
      </c>
      <c r="M83" s="5" t="s">
        <v>105</v>
      </c>
    </row>
    <row r="84" spans="2:24">
      <c r="L84" s="5">
        <f>L83/L53</f>
        <v>109.33333333333333</v>
      </c>
      <c r="M84" s="5" t="s">
        <v>106</v>
      </c>
    </row>
    <row r="85" spans="2:24">
      <c r="L85" s="5">
        <f>L84/0.8</f>
        <v>136.66666666666666</v>
      </c>
      <c r="M85" s="64">
        <v>0.2</v>
      </c>
    </row>
    <row r="86" spans="2:24">
      <c r="K86" s="5" t="s">
        <v>289</v>
      </c>
      <c r="L86" s="5">
        <v>175</v>
      </c>
      <c r="M86" s="5" t="s">
        <v>106</v>
      </c>
    </row>
    <row r="87" spans="2:24">
      <c r="B87"/>
      <c r="D87"/>
      <c r="E87"/>
      <c r="F87"/>
      <c r="G87"/>
      <c r="H87"/>
      <c r="I87"/>
      <c r="J87"/>
      <c r="K87"/>
      <c r="L87"/>
      <c r="M87"/>
      <c r="N87"/>
      <c r="X87"/>
    </row>
    <row r="88" spans="2:24">
      <c r="B88"/>
      <c r="D88"/>
      <c r="E88"/>
      <c r="F88"/>
      <c r="G88"/>
      <c r="H88"/>
      <c r="I88"/>
      <c r="J88"/>
      <c r="K88"/>
      <c r="L88"/>
      <c r="M88"/>
      <c r="N88"/>
      <c r="X88"/>
    </row>
    <row r="89" spans="2:24">
      <c r="B89"/>
      <c r="D89"/>
      <c r="E89"/>
      <c r="F89"/>
      <c r="G89"/>
      <c r="H89"/>
      <c r="I89"/>
      <c r="J89"/>
      <c r="K89"/>
      <c r="L89"/>
      <c r="M89"/>
      <c r="N89"/>
      <c r="X89"/>
    </row>
    <row r="90" spans="2:24">
      <c r="B90"/>
      <c r="D90"/>
      <c r="E90"/>
      <c r="F90"/>
      <c r="G90"/>
      <c r="H90"/>
      <c r="I90"/>
      <c r="J90"/>
      <c r="K90"/>
      <c r="L90"/>
      <c r="M90"/>
      <c r="N90"/>
      <c r="X90"/>
    </row>
    <row r="91" spans="2:24">
      <c r="B91"/>
      <c r="D91"/>
      <c r="E91"/>
      <c r="F91"/>
      <c r="G91"/>
      <c r="H91"/>
      <c r="I91"/>
      <c r="J91"/>
      <c r="K91"/>
      <c r="L91"/>
      <c r="M91"/>
      <c r="N91"/>
      <c r="X91"/>
    </row>
    <row r="92" spans="2:24">
      <c r="B92"/>
      <c r="D92"/>
      <c r="E92"/>
      <c r="F92"/>
      <c r="G92"/>
      <c r="H92"/>
      <c r="I92"/>
      <c r="J92"/>
      <c r="K92"/>
      <c r="L92"/>
      <c r="M92"/>
      <c r="N92"/>
      <c r="X92"/>
    </row>
  </sheetData>
  <mergeCells count="34">
    <mergeCell ref="V13:V14"/>
    <mergeCell ref="W13:W14"/>
    <mergeCell ref="L13:N14"/>
    <mergeCell ref="B7:X10"/>
    <mergeCell ref="D11:E11"/>
    <mergeCell ref="F11:G11"/>
    <mergeCell ref="I11:J11"/>
    <mergeCell ref="B13:B14"/>
    <mergeCell ref="C13:C14"/>
    <mergeCell ref="D13:D14"/>
    <mergeCell ref="E13:E14"/>
    <mergeCell ref="F13:K13"/>
    <mergeCell ref="F12:G12"/>
    <mergeCell ref="I12:J12"/>
    <mergeCell ref="W54:W55"/>
    <mergeCell ref="F53:G53"/>
    <mergeCell ref="I53:J53"/>
    <mergeCell ref="O13:T13"/>
    <mergeCell ref="U13:U14"/>
    <mergeCell ref="X13:X14"/>
    <mergeCell ref="B48:X51"/>
    <mergeCell ref="D52:E52"/>
    <mergeCell ref="F52:G52"/>
    <mergeCell ref="I52:J52"/>
    <mergeCell ref="X54:X55"/>
    <mergeCell ref="B54:B55"/>
    <mergeCell ref="C54:C55"/>
    <mergeCell ref="D54:D55"/>
    <mergeCell ref="E54:E55"/>
    <mergeCell ref="F54:K54"/>
    <mergeCell ref="L54:N55"/>
    <mergeCell ref="O54:T54"/>
    <mergeCell ref="U54:U55"/>
    <mergeCell ref="V54:V55"/>
  </mergeCells>
  <phoneticPr fontId="15" type="noConversion"/>
  <pageMargins left="0.75" right="0.75" top="1" bottom="1" header="0.5" footer="0.5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4:AB539"/>
  <sheetViews>
    <sheetView topLeftCell="C25" workbookViewId="0">
      <selection activeCell="Y4" sqref="Y4"/>
    </sheetView>
  </sheetViews>
  <sheetFormatPr defaultRowHeight="12.75"/>
  <cols>
    <col min="1" max="1" width="19.7109375" bestFit="1" customWidth="1"/>
    <col min="4" max="4" width="2.5703125" customWidth="1"/>
    <col min="5" max="5" width="2.140625" customWidth="1"/>
    <col min="6" max="6" width="15.7109375" bestFit="1" customWidth="1"/>
    <col min="7" max="7" width="19.28515625" bestFit="1" customWidth="1"/>
    <col min="14" max="14" width="15.7109375" bestFit="1" customWidth="1"/>
    <col min="15" max="15" width="17.28515625" bestFit="1" customWidth="1"/>
    <col min="22" max="22" width="10" bestFit="1" customWidth="1"/>
    <col min="23" max="23" width="9.140625" style="5"/>
    <col min="28" max="28" width="11.28515625" bestFit="1" customWidth="1"/>
  </cols>
  <sheetData>
    <row r="4" spans="1:28">
      <c r="V4" s="227" t="s">
        <v>366</v>
      </c>
      <c r="W4" s="227"/>
      <c r="X4" t="s">
        <v>367</v>
      </c>
      <c r="Y4" t="s">
        <v>368</v>
      </c>
      <c r="Z4" t="s">
        <v>369</v>
      </c>
      <c r="AA4" t="s">
        <v>370</v>
      </c>
      <c r="AB4" t="s">
        <v>371</v>
      </c>
    </row>
    <row r="5" spans="1:28">
      <c r="V5" s="83" t="s">
        <v>364</v>
      </c>
      <c r="W5" s="5" t="s">
        <v>365</v>
      </c>
      <c r="X5" t="s">
        <v>365</v>
      </c>
      <c r="Y5" s="5" t="s">
        <v>365</v>
      </c>
      <c r="Z5" t="s">
        <v>365</v>
      </c>
      <c r="AA5" s="5" t="s">
        <v>365</v>
      </c>
      <c r="AB5" t="s">
        <v>365</v>
      </c>
    </row>
    <row r="6" spans="1:28">
      <c r="V6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</row>
    <row r="7" spans="1:28">
      <c r="B7" s="227" t="s">
        <v>243</v>
      </c>
      <c r="C7" s="227"/>
      <c r="G7" t="s">
        <v>244</v>
      </c>
      <c r="O7" t="s">
        <v>245</v>
      </c>
      <c r="V7">
        <f>V6+1</f>
        <v>2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</row>
    <row r="8" spans="1:28">
      <c r="B8" t="s">
        <v>246</v>
      </c>
      <c r="C8" t="s">
        <v>247</v>
      </c>
      <c r="V8">
        <f t="shared" ref="V8:V71" si="0">V7+1</f>
        <v>3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</row>
    <row r="9" spans="1:28">
      <c r="A9" t="s">
        <v>248</v>
      </c>
      <c r="B9">
        <v>0.25</v>
      </c>
      <c r="C9">
        <v>0.5</v>
      </c>
      <c r="V9">
        <f t="shared" si="0"/>
        <v>4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</row>
    <row r="10" spans="1:28">
      <c r="A10" t="s">
        <v>249</v>
      </c>
      <c r="B10">
        <v>2</v>
      </c>
      <c r="C10">
        <v>1</v>
      </c>
      <c r="H10" s="264" t="s">
        <v>243</v>
      </c>
      <c r="I10" s="264"/>
      <c r="J10" s="264"/>
      <c r="K10" s="264"/>
      <c r="L10" s="264"/>
      <c r="P10" s="264" t="s">
        <v>243</v>
      </c>
      <c r="Q10" s="264"/>
      <c r="R10" s="264"/>
      <c r="S10" s="264"/>
      <c r="T10" s="264"/>
      <c r="V10">
        <f t="shared" si="0"/>
        <v>5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</row>
    <row r="11" spans="1:28">
      <c r="A11" t="s">
        <v>250</v>
      </c>
      <c r="B11">
        <v>2</v>
      </c>
      <c r="C11">
        <v>2</v>
      </c>
      <c r="F11" s="53" t="s">
        <v>251</v>
      </c>
      <c r="G11" s="53" t="s">
        <v>252</v>
      </c>
      <c r="H11" s="53" t="s">
        <v>253</v>
      </c>
      <c r="I11" s="53" t="s">
        <v>254</v>
      </c>
      <c r="J11" s="53" t="s">
        <v>255</v>
      </c>
      <c r="K11" s="53" t="s">
        <v>256</v>
      </c>
      <c r="L11" s="53" t="s">
        <v>257</v>
      </c>
      <c r="N11" s="53" t="s">
        <v>251</v>
      </c>
      <c r="O11" s="53" t="s">
        <v>252</v>
      </c>
      <c r="P11" s="53" t="s">
        <v>253</v>
      </c>
      <c r="Q11" s="53" t="s">
        <v>254</v>
      </c>
      <c r="R11" s="53" t="s">
        <v>255</v>
      </c>
      <c r="S11" s="53" t="s">
        <v>256</v>
      </c>
      <c r="T11" s="53" t="s">
        <v>257</v>
      </c>
      <c r="V11">
        <f t="shared" si="0"/>
        <v>6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</row>
    <row r="12" spans="1:28">
      <c r="A12" t="s">
        <v>258</v>
      </c>
      <c r="B12">
        <v>3</v>
      </c>
      <c r="C12">
        <v>2</v>
      </c>
      <c r="F12" s="1" t="s">
        <v>259</v>
      </c>
      <c r="G12" s="1">
        <v>5</v>
      </c>
      <c r="H12" s="1">
        <v>5</v>
      </c>
      <c r="I12" s="1"/>
      <c r="J12" s="1"/>
      <c r="K12" s="1"/>
      <c r="L12" s="1"/>
      <c r="N12" s="1" t="s">
        <v>259</v>
      </c>
      <c r="O12" s="1">
        <v>4</v>
      </c>
      <c r="P12" s="1">
        <v>4</v>
      </c>
      <c r="Q12" s="1"/>
      <c r="R12" s="1"/>
      <c r="S12" s="1"/>
      <c r="T12" s="1"/>
      <c r="V12">
        <f t="shared" si="0"/>
        <v>7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</row>
    <row r="13" spans="1:28">
      <c r="A13" t="s">
        <v>260</v>
      </c>
      <c r="B13">
        <v>5</v>
      </c>
      <c r="C13">
        <v>4</v>
      </c>
      <c r="F13" s="1" t="s">
        <v>259</v>
      </c>
      <c r="G13" s="1">
        <v>5</v>
      </c>
      <c r="H13" s="1">
        <v>5</v>
      </c>
      <c r="I13" s="1"/>
      <c r="J13" s="1"/>
      <c r="K13" s="1"/>
      <c r="L13" s="1"/>
      <c r="N13" s="1" t="s">
        <v>259</v>
      </c>
      <c r="O13" s="1">
        <v>4</v>
      </c>
      <c r="P13" s="1">
        <v>4</v>
      </c>
      <c r="Q13" s="1"/>
      <c r="R13" s="1"/>
      <c r="S13" s="1"/>
      <c r="T13" s="1"/>
      <c r="V13">
        <f t="shared" si="0"/>
        <v>8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</row>
    <row r="14" spans="1:28">
      <c r="A14" t="s">
        <v>259</v>
      </c>
      <c r="B14">
        <v>5</v>
      </c>
      <c r="C14">
        <v>4</v>
      </c>
      <c r="F14" s="1" t="s">
        <v>261</v>
      </c>
      <c r="G14" s="1">
        <v>0.25</v>
      </c>
      <c r="H14" s="1">
        <v>0.25</v>
      </c>
      <c r="I14" s="1"/>
      <c r="J14" s="1"/>
      <c r="K14" s="1"/>
      <c r="L14" s="1"/>
      <c r="N14" s="1" t="s">
        <v>261</v>
      </c>
      <c r="O14" s="1">
        <v>0.5</v>
      </c>
      <c r="P14" s="1">
        <v>0.5</v>
      </c>
      <c r="Q14" s="1"/>
      <c r="R14" s="1"/>
      <c r="S14" s="1"/>
      <c r="T14" s="1"/>
      <c r="V14">
        <f t="shared" si="0"/>
        <v>9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</row>
    <row r="15" spans="1:28">
      <c r="F15" s="1" t="s">
        <v>260</v>
      </c>
      <c r="G15" s="1">
        <v>5</v>
      </c>
      <c r="H15" s="1">
        <v>5</v>
      </c>
      <c r="I15" s="1"/>
      <c r="J15" s="1"/>
      <c r="K15" s="1"/>
      <c r="L15" s="1"/>
      <c r="N15" s="1" t="s">
        <v>260</v>
      </c>
      <c r="O15" s="1">
        <v>4</v>
      </c>
      <c r="P15" s="1">
        <v>4</v>
      </c>
      <c r="Q15" s="1"/>
      <c r="R15" s="1"/>
      <c r="S15" s="1"/>
      <c r="T15" s="1"/>
      <c r="V15">
        <f t="shared" si="0"/>
        <v>10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</row>
    <row r="16" spans="1:28">
      <c r="F16" s="1" t="s">
        <v>260</v>
      </c>
      <c r="G16" s="1">
        <v>5</v>
      </c>
      <c r="H16" s="1">
        <v>5</v>
      </c>
      <c r="I16" s="1"/>
      <c r="J16" s="1"/>
      <c r="K16" s="1"/>
      <c r="L16" s="1"/>
      <c r="N16" s="1" t="s">
        <v>260</v>
      </c>
      <c r="O16" s="1">
        <v>4</v>
      </c>
      <c r="P16" s="1">
        <v>4</v>
      </c>
      <c r="Q16" s="1"/>
      <c r="R16" s="1"/>
      <c r="S16" s="1"/>
      <c r="T16" s="1"/>
      <c r="V16">
        <f t="shared" si="0"/>
        <v>11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</row>
    <row r="17" spans="6:28">
      <c r="F17" s="1" t="s">
        <v>249</v>
      </c>
      <c r="G17" s="1">
        <v>2</v>
      </c>
      <c r="H17" s="1"/>
      <c r="I17" s="1">
        <v>2</v>
      </c>
      <c r="J17" s="1"/>
      <c r="K17" s="1"/>
      <c r="L17" s="1"/>
      <c r="N17" s="1" t="s">
        <v>249</v>
      </c>
      <c r="O17" s="1">
        <v>1</v>
      </c>
      <c r="P17" s="1"/>
      <c r="Q17" s="1">
        <v>1</v>
      </c>
      <c r="R17" s="1"/>
      <c r="S17" s="1"/>
      <c r="T17" s="1"/>
      <c r="V17">
        <f t="shared" si="0"/>
        <v>12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</row>
    <row r="18" spans="6:28">
      <c r="F18" s="1" t="s">
        <v>249</v>
      </c>
      <c r="G18" s="1">
        <v>2</v>
      </c>
      <c r="H18" s="1"/>
      <c r="I18" s="1">
        <v>2</v>
      </c>
      <c r="J18" s="1"/>
      <c r="K18" s="1"/>
      <c r="L18" s="1"/>
      <c r="N18" s="1" t="s">
        <v>249</v>
      </c>
      <c r="O18" s="1">
        <v>1</v>
      </c>
      <c r="P18" s="1"/>
      <c r="Q18" s="1">
        <v>1</v>
      </c>
      <c r="R18" s="1"/>
      <c r="S18" s="1"/>
      <c r="T18" s="1"/>
      <c r="V18">
        <f t="shared" si="0"/>
        <v>13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</row>
    <row r="19" spans="6:28">
      <c r="F19" s="1" t="s">
        <v>249</v>
      </c>
      <c r="G19" s="1">
        <v>2</v>
      </c>
      <c r="H19" s="1"/>
      <c r="I19" s="1">
        <v>2</v>
      </c>
      <c r="J19" s="1"/>
      <c r="K19" s="1"/>
      <c r="L19" s="1"/>
      <c r="N19" s="1" t="s">
        <v>249</v>
      </c>
      <c r="O19" s="1">
        <v>1</v>
      </c>
      <c r="P19" s="1"/>
      <c r="Q19" s="1">
        <v>1</v>
      </c>
      <c r="R19" s="1"/>
      <c r="S19" s="1"/>
      <c r="T19" s="1"/>
      <c r="V19">
        <f t="shared" si="0"/>
        <v>14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</row>
    <row r="20" spans="6:28">
      <c r="F20" s="1" t="s">
        <v>249</v>
      </c>
      <c r="G20" s="1">
        <v>2</v>
      </c>
      <c r="H20" s="1"/>
      <c r="I20" s="1">
        <v>2</v>
      </c>
      <c r="J20" s="1"/>
      <c r="K20" s="1"/>
      <c r="L20" s="1"/>
      <c r="N20" s="1" t="s">
        <v>249</v>
      </c>
      <c r="O20" s="1">
        <v>1</v>
      </c>
      <c r="P20" s="1"/>
      <c r="Q20" s="1">
        <v>1</v>
      </c>
      <c r="R20" s="1"/>
      <c r="S20" s="1"/>
      <c r="T20" s="1"/>
      <c r="V20">
        <f t="shared" si="0"/>
        <v>15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</row>
    <row r="21" spans="6:28">
      <c r="F21" s="1" t="s">
        <v>260</v>
      </c>
      <c r="G21" s="1">
        <v>5</v>
      </c>
      <c r="H21" s="1"/>
      <c r="I21" s="1"/>
      <c r="J21" s="1">
        <v>5</v>
      </c>
      <c r="K21" s="1"/>
      <c r="L21" s="1"/>
      <c r="N21" s="1" t="s">
        <v>260</v>
      </c>
      <c r="O21" s="1">
        <v>4</v>
      </c>
      <c r="P21" s="1"/>
      <c r="Q21" s="1"/>
      <c r="R21" s="1">
        <v>5</v>
      </c>
      <c r="S21" s="1"/>
      <c r="T21" s="1"/>
      <c r="V21">
        <f t="shared" si="0"/>
        <v>16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</row>
    <row r="22" spans="6:28">
      <c r="F22" s="1" t="s">
        <v>260</v>
      </c>
      <c r="G22" s="1">
        <v>5</v>
      </c>
      <c r="H22" s="1"/>
      <c r="I22" s="1"/>
      <c r="J22" s="1">
        <v>5</v>
      </c>
      <c r="K22" s="1"/>
      <c r="L22" s="1"/>
      <c r="N22" s="1" t="s">
        <v>260</v>
      </c>
      <c r="O22" s="1">
        <v>4</v>
      </c>
      <c r="P22" s="1"/>
      <c r="Q22" s="1"/>
      <c r="R22" s="1">
        <v>5</v>
      </c>
      <c r="S22" s="1"/>
      <c r="T22" s="1"/>
      <c r="V22">
        <f t="shared" si="0"/>
        <v>17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</row>
    <row r="23" spans="6:28">
      <c r="F23" s="1" t="s">
        <v>250</v>
      </c>
      <c r="G23" s="1">
        <v>2</v>
      </c>
      <c r="H23" s="1"/>
      <c r="I23" s="1"/>
      <c r="J23" s="1"/>
      <c r="K23" s="1">
        <v>2</v>
      </c>
      <c r="L23" s="1"/>
      <c r="N23" s="1" t="s">
        <v>250</v>
      </c>
      <c r="O23" s="1">
        <v>2</v>
      </c>
      <c r="P23" s="1"/>
      <c r="Q23" s="1"/>
      <c r="R23" s="1"/>
      <c r="S23" s="1">
        <v>2</v>
      </c>
      <c r="T23" s="1"/>
      <c r="V23">
        <f t="shared" si="0"/>
        <v>18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</row>
    <row r="24" spans="6:28">
      <c r="F24" s="1" t="s">
        <v>258</v>
      </c>
      <c r="G24" s="1">
        <v>3</v>
      </c>
      <c r="H24" s="1"/>
      <c r="I24" s="1"/>
      <c r="J24" s="1"/>
      <c r="K24" s="1"/>
      <c r="L24" s="1">
        <v>3</v>
      </c>
      <c r="N24" s="1" t="s">
        <v>258</v>
      </c>
      <c r="O24" s="1">
        <v>2</v>
      </c>
      <c r="P24" s="1"/>
      <c r="Q24" s="1"/>
      <c r="R24" s="1"/>
      <c r="S24" s="1"/>
      <c r="T24" s="1">
        <v>3</v>
      </c>
      <c r="V24">
        <f t="shared" si="0"/>
        <v>19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</row>
    <row r="25" spans="6:28">
      <c r="F25" t="s">
        <v>262</v>
      </c>
      <c r="G25">
        <f t="shared" ref="G25:L25" si="1">SUM(G12:G24)</f>
        <v>43.25</v>
      </c>
      <c r="H25">
        <f t="shared" si="1"/>
        <v>20.25</v>
      </c>
      <c r="I25">
        <f t="shared" si="1"/>
        <v>8</v>
      </c>
      <c r="J25">
        <f t="shared" si="1"/>
        <v>10</v>
      </c>
      <c r="K25">
        <f t="shared" si="1"/>
        <v>2</v>
      </c>
      <c r="L25">
        <f t="shared" si="1"/>
        <v>3</v>
      </c>
      <c r="N25" t="s">
        <v>262</v>
      </c>
      <c r="O25">
        <f t="shared" ref="O25:T25" si="2">SUM(O12:O24)</f>
        <v>32.5</v>
      </c>
      <c r="P25">
        <f t="shared" si="2"/>
        <v>16.5</v>
      </c>
      <c r="Q25">
        <f t="shared" si="2"/>
        <v>4</v>
      </c>
      <c r="R25">
        <f t="shared" si="2"/>
        <v>10</v>
      </c>
      <c r="S25">
        <f t="shared" si="2"/>
        <v>2</v>
      </c>
      <c r="T25">
        <f t="shared" si="2"/>
        <v>3</v>
      </c>
      <c r="V25">
        <f t="shared" si="0"/>
        <v>20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</row>
    <row r="26" spans="6:28">
      <c r="V26">
        <f t="shared" si="0"/>
        <v>21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</row>
    <row r="27" spans="6:28">
      <c r="N27" t="s">
        <v>263</v>
      </c>
      <c r="O27" t="str">
        <f>IF(O25&lt;36,"3 inch ok ","Try 4")</f>
        <v xml:space="preserve">3 inch ok </v>
      </c>
      <c r="V27">
        <f t="shared" si="0"/>
        <v>22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</row>
    <row r="28" spans="6:28">
      <c r="N28" t="s">
        <v>264</v>
      </c>
      <c r="O28" t="str">
        <f>IF(O25&lt;36,"4 inch not needed","4 inch will work")</f>
        <v>4 inch not needed</v>
      </c>
      <c r="V28">
        <f t="shared" si="0"/>
        <v>23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</row>
    <row r="29" spans="6:28">
      <c r="V29">
        <f t="shared" si="0"/>
        <v>24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</row>
    <row r="30" spans="6:28">
      <c r="V30">
        <f t="shared" si="0"/>
        <v>25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</row>
    <row r="31" spans="6:28">
      <c r="V31">
        <f t="shared" si="0"/>
        <v>26</v>
      </c>
      <c r="W31" s="5">
        <v>2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</row>
    <row r="32" spans="6:28">
      <c r="V32">
        <f t="shared" si="0"/>
        <v>27</v>
      </c>
      <c r="W32" s="5">
        <v>2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</row>
    <row r="33" spans="22:28">
      <c r="V33">
        <f t="shared" si="0"/>
        <v>28</v>
      </c>
      <c r="W33" s="5">
        <v>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</row>
    <row r="34" spans="22:28">
      <c r="V34">
        <f t="shared" si="0"/>
        <v>29</v>
      </c>
      <c r="W34" s="5">
        <v>2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</row>
    <row r="35" spans="22:28">
      <c r="V35">
        <f t="shared" si="0"/>
        <v>30</v>
      </c>
      <c r="W35" s="5">
        <v>2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</row>
    <row r="36" spans="22:28">
      <c r="V36">
        <f t="shared" si="0"/>
        <v>31</v>
      </c>
      <c r="W36" s="5">
        <v>2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</row>
    <row r="37" spans="22:28">
      <c r="V37">
        <f t="shared" si="0"/>
        <v>32</v>
      </c>
      <c r="W37" s="5">
        <v>2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</row>
    <row r="38" spans="22:28">
      <c r="V38">
        <f t="shared" si="0"/>
        <v>33</v>
      </c>
      <c r="W38" s="5">
        <v>2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</row>
    <row r="39" spans="22:28">
      <c r="V39">
        <f t="shared" si="0"/>
        <v>34</v>
      </c>
      <c r="W39" s="5">
        <v>2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</row>
    <row r="40" spans="22:28">
      <c r="V40">
        <f t="shared" si="0"/>
        <v>35</v>
      </c>
      <c r="W40" s="5">
        <v>2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</row>
    <row r="41" spans="22:28">
      <c r="V41">
        <f t="shared" si="0"/>
        <v>36</v>
      </c>
      <c r="W41" s="5">
        <v>2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</row>
    <row r="42" spans="22:28">
      <c r="V42">
        <f t="shared" si="0"/>
        <v>37</v>
      </c>
      <c r="W42" s="5">
        <v>2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</row>
    <row r="43" spans="22:28">
      <c r="V43">
        <f t="shared" si="0"/>
        <v>38</v>
      </c>
      <c r="W43" s="5">
        <v>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</row>
    <row r="44" spans="22:28">
      <c r="V44">
        <f t="shared" si="0"/>
        <v>39</v>
      </c>
      <c r="W44" s="5">
        <v>2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</row>
    <row r="45" spans="22:28">
      <c r="V45">
        <f t="shared" si="0"/>
        <v>40</v>
      </c>
      <c r="W45" s="5">
        <v>2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</row>
    <row r="46" spans="22:28">
      <c r="V46">
        <f t="shared" si="0"/>
        <v>41</v>
      </c>
      <c r="W46" s="5">
        <v>2</v>
      </c>
      <c r="X46" s="5">
        <v>2</v>
      </c>
      <c r="Y46" s="5">
        <v>1</v>
      </c>
      <c r="Z46" s="5">
        <v>1</v>
      </c>
      <c r="AA46" s="5">
        <v>1</v>
      </c>
      <c r="AB46" s="5">
        <v>1</v>
      </c>
    </row>
    <row r="47" spans="22:28">
      <c r="V47">
        <f t="shared" si="0"/>
        <v>42</v>
      </c>
      <c r="W47" s="5">
        <v>2</v>
      </c>
      <c r="X47" s="5">
        <v>2</v>
      </c>
      <c r="Y47" s="5">
        <v>1</v>
      </c>
      <c r="Z47" s="5">
        <v>1</v>
      </c>
      <c r="AA47" s="5">
        <v>1</v>
      </c>
      <c r="AB47" s="5">
        <v>1</v>
      </c>
    </row>
    <row r="48" spans="22:28">
      <c r="V48">
        <f t="shared" si="0"/>
        <v>43</v>
      </c>
      <c r="W48" s="5">
        <v>2</v>
      </c>
      <c r="X48" s="5">
        <v>2</v>
      </c>
      <c r="Y48" s="5">
        <v>1</v>
      </c>
      <c r="Z48" s="5">
        <v>1</v>
      </c>
      <c r="AA48" s="5">
        <v>1</v>
      </c>
      <c r="AB48" s="5">
        <v>1</v>
      </c>
    </row>
    <row r="49" spans="22:28">
      <c r="V49">
        <f t="shared" si="0"/>
        <v>44</v>
      </c>
      <c r="W49" s="5">
        <v>2</v>
      </c>
      <c r="X49" s="5">
        <v>2</v>
      </c>
      <c r="Y49" s="5">
        <v>1</v>
      </c>
      <c r="Z49" s="5">
        <v>1</v>
      </c>
      <c r="AA49" s="5">
        <v>1</v>
      </c>
      <c r="AB49" s="5">
        <v>1</v>
      </c>
    </row>
    <row r="50" spans="22:28">
      <c r="V50">
        <f t="shared" si="0"/>
        <v>45</v>
      </c>
      <c r="W50" s="5">
        <v>2</v>
      </c>
      <c r="X50" s="5">
        <v>2</v>
      </c>
      <c r="Y50" s="5">
        <v>1</v>
      </c>
      <c r="Z50" s="5">
        <v>1</v>
      </c>
      <c r="AA50" s="5">
        <v>1</v>
      </c>
      <c r="AB50" s="5">
        <v>1</v>
      </c>
    </row>
    <row r="51" spans="22:28">
      <c r="V51">
        <f t="shared" si="0"/>
        <v>46</v>
      </c>
      <c r="W51" s="5">
        <v>2</v>
      </c>
      <c r="X51" s="5">
        <v>2</v>
      </c>
      <c r="Y51" s="5">
        <v>1</v>
      </c>
      <c r="Z51" s="5">
        <v>1</v>
      </c>
      <c r="AA51" s="5">
        <v>1</v>
      </c>
      <c r="AB51" s="5">
        <v>1</v>
      </c>
    </row>
    <row r="52" spans="22:28">
      <c r="V52">
        <f t="shared" si="0"/>
        <v>47</v>
      </c>
      <c r="W52" s="5">
        <v>2</v>
      </c>
      <c r="X52" s="5">
        <v>2</v>
      </c>
      <c r="Y52" s="5">
        <v>1</v>
      </c>
      <c r="Z52" s="5">
        <v>1</v>
      </c>
      <c r="AA52" s="5">
        <v>1</v>
      </c>
      <c r="AB52" s="5">
        <v>1</v>
      </c>
    </row>
    <row r="53" spans="22:28">
      <c r="V53">
        <f t="shared" si="0"/>
        <v>48</v>
      </c>
      <c r="W53" s="5">
        <v>2</v>
      </c>
      <c r="X53" s="5">
        <v>2</v>
      </c>
      <c r="Y53" s="5">
        <v>1</v>
      </c>
      <c r="Z53" s="5">
        <v>1</v>
      </c>
      <c r="AA53" s="5">
        <v>1</v>
      </c>
      <c r="AB53" s="5">
        <v>1</v>
      </c>
    </row>
    <row r="54" spans="22:28">
      <c r="V54">
        <f t="shared" si="0"/>
        <v>49</v>
      </c>
      <c r="W54" s="5">
        <v>2</v>
      </c>
      <c r="X54" s="5">
        <v>2</v>
      </c>
      <c r="Y54" s="5">
        <v>1</v>
      </c>
      <c r="Z54" s="5">
        <v>1</v>
      </c>
      <c r="AA54" s="5">
        <v>1</v>
      </c>
      <c r="AB54" s="5">
        <v>1</v>
      </c>
    </row>
    <row r="55" spans="22:28">
      <c r="V55">
        <f t="shared" si="0"/>
        <v>50</v>
      </c>
      <c r="W55" s="5">
        <v>2</v>
      </c>
      <c r="X55" s="5">
        <v>2</v>
      </c>
      <c r="Y55" s="5">
        <v>1</v>
      </c>
      <c r="Z55" s="5">
        <v>1</v>
      </c>
      <c r="AA55" s="5">
        <v>1</v>
      </c>
      <c r="AB55" s="5">
        <v>1</v>
      </c>
    </row>
    <row r="56" spans="22:28">
      <c r="V56">
        <f t="shared" si="0"/>
        <v>51</v>
      </c>
      <c r="W56" s="5">
        <v>3</v>
      </c>
      <c r="X56" s="5">
        <v>3</v>
      </c>
      <c r="Y56" s="5">
        <v>2</v>
      </c>
      <c r="Z56" s="5">
        <v>2</v>
      </c>
      <c r="AA56" s="5">
        <v>1</v>
      </c>
      <c r="AB56" s="5">
        <v>1</v>
      </c>
    </row>
    <row r="57" spans="22:28">
      <c r="V57">
        <f t="shared" si="0"/>
        <v>52</v>
      </c>
      <c r="W57" s="5">
        <v>3</v>
      </c>
      <c r="X57" s="5">
        <v>3</v>
      </c>
      <c r="Y57" s="5">
        <v>2</v>
      </c>
      <c r="Z57" s="5">
        <v>2</v>
      </c>
      <c r="AA57" s="5">
        <v>1</v>
      </c>
      <c r="AB57" s="5">
        <v>1</v>
      </c>
    </row>
    <row r="58" spans="22:28">
      <c r="V58">
        <f t="shared" si="0"/>
        <v>53</v>
      </c>
      <c r="W58" s="5">
        <v>3</v>
      </c>
      <c r="X58" s="5">
        <v>3</v>
      </c>
      <c r="Y58" s="5">
        <v>2</v>
      </c>
      <c r="Z58" s="5">
        <v>2</v>
      </c>
      <c r="AA58" s="5">
        <v>1</v>
      </c>
      <c r="AB58" s="5">
        <v>1</v>
      </c>
    </row>
    <row r="59" spans="22:28">
      <c r="V59">
        <f t="shared" si="0"/>
        <v>54</v>
      </c>
      <c r="W59" s="5">
        <v>3</v>
      </c>
      <c r="X59" s="5">
        <v>3</v>
      </c>
      <c r="Y59" s="5">
        <v>2</v>
      </c>
      <c r="Z59" s="5">
        <v>2</v>
      </c>
      <c r="AA59" s="5">
        <v>1</v>
      </c>
      <c r="AB59" s="5">
        <v>1</v>
      </c>
    </row>
    <row r="60" spans="22:28">
      <c r="V60">
        <f t="shared" si="0"/>
        <v>55</v>
      </c>
      <c r="W60" s="5">
        <v>3</v>
      </c>
      <c r="X60" s="5">
        <v>3</v>
      </c>
      <c r="Y60" s="5">
        <v>2</v>
      </c>
      <c r="Z60" s="5">
        <v>2</v>
      </c>
      <c r="AA60" s="5">
        <v>1</v>
      </c>
      <c r="AB60" s="5">
        <v>1</v>
      </c>
    </row>
    <row r="61" spans="22:28">
      <c r="V61">
        <f t="shared" si="0"/>
        <v>56</v>
      </c>
      <c r="W61" s="5">
        <v>3</v>
      </c>
      <c r="X61" s="5">
        <v>3</v>
      </c>
      <c r="Y61" s="5">
        <v>2</v>
      </c>
      <c r="Z61" s="5">
        <v>2</v>
      </c>
      <c r="AA61" s="5">
        <v>1</v>
      </c>
      <c r="AB61" s="5">
        <v>1</v>
      </c>
    </row>
    <row r="62" spans="22:28">
      <c r="V62">
        <f t="shared" si="0"/>
        <v>57</v>
      </c>
      <c r="W62" s="5">
        <v>3</v>
      </c>
      <c r="X62" s="5">
        <v>3</v>
      </c>
      <c r="Y62" s="5">
        <v>2</v>
      </c>
      <c r="Z62" s="5">
        <v>2</v>
      </c>
      <c r="AA62" s="5">
        <v>1</v>
      </c>
      <c r="AB62" s="5">
        <v>1</v>
      </c>
    </row>
    <row r="63" spans="22:28">
      <c r="V63">
        <f t="shared" si="0"/>
        <v>58</v>
      </c>
      <c r="W63" s="5">
        <v>3</v>
      </c>
      <c r="X63" s="5">
        <v>3</v>
      </c>
      <c r="Y63" s="5">
        <v>2</v>
      </c>
      <c r="Z63" s="5">
        <v>2</v>
      </c>
      <c r="AA63" s="5">
        <v>1</v>
      </c>
      <c r="AB63" s="5">
        <v>1</v>
      </c>
    </row>
    <row r="64" spans="22:28">
      <c r="V64">
        <f t="shared" si="0"/>
        <v>59</v>
      </c>
      <c r="W64" s="5">
        <v>3</v>
      </c>
      <c r="X64" s="5">
        <v>3</v>
      </c>
      <c r="Y64" s="5">
        <v>2</v>
      </c>
      <c r="Z64" s="5">
        <v>2</v>
      </c>
      <c r="AA64" s="5">
        <v>1</v>
      </c>
      <c r="AB64" s="5">
        <v>1</v>
      </c>
    </row>
    <row r="65" spans="22:28">
      <c r="V65">
        <f t="shared" si="0"/>
        <v>60</v>
      </c>
      <c r="W65" s="5">
        <v>3</v>
      </c>
      <c r="X65" s="5">
        <v>3</v>
      </c>
      <c r="Y65" s="5">
        <v>2</v>
      </c>
      <c r="Z65" s="5">
        <v>2</v>
      </c>
      <c r="AA65" s="5">
        <v>1</v>
      </c>
      <c r="AB65" s="5">
        <v>1</v>
      </c>
    </row>
    <row r="66" spans="22:28">
      <c r="V66">
        <f t="shared" si="0"/>
        <v>61</v>
      </c>
      <c r="W66" s="5">
        <v>3</v>
      </c>
      <c r="X66" s="5">
        <v>3</v>
      </c>
      <c r="Y66" s="5">
        <v>2</v>
      </c>
      <c r="Z66" s="5">
        <v>2</v>
      </c>
      <c r="AA66" s="5">
        <v>1</v>
      </c>
      <c r="AB66" s="5">
        <v>1</v>
      </c>
    </row>
    <row r="67" spans="22:28">
      <c r="V67">
        <f t="shared" si="0"/>
        <v>62</v>
      </c>
      <c r="W67" s="5">
        <v>3</v>
      </c>
      <c r="X67" s="5">
        <v>3</v>
      </c>
      <c r="Y67" s="5">
        <v>2</v>
      </c>
      <c r="Z67" s="5">
        <v>2</v>
      </c>
      <c r="AA67" s="5">
        <v>1</v>
      </c>
      <c r="AB67" s="5">
        <v>1</v>
      </c>
    </row>
    <row r="68" spans="22:28">
      <c r="V68">
        <f t="shared" si="0"/>
        <v>63</v>
      </c>
      <c r="W68" s="5">
        <v>3</v>
      </c>
      <c r="X68" s="5">
        <v>3</v>
      </c>
      <c r="Y68" s="5">
        <v>2</v>
      </c>
      <c r="Z68" s="5">
        <v>2</v>
      </c>
      <c r="AA68" s="5">
        <v>1</v>
      </c>
      <c r="AB68" s="5">
        <v>1</v>
      </c>
    </row>
    <row r="69" spans="22:28">
      <c r="V69">
        <f t="shared" si="0"/>
        <v>64</v>
      </c>
      <c r="W69" s="5">
        <v>3</v>
      </c>
      <c r="X69" s="5">
        <v>3</v>
      </c>
      <c r="Y69" s="5">
        <v>2</v>
      </c>
      <c r="Z69" s="5">
        <v>2</v>
      </c>
      <c r="AA69" s="5">
        <v>1</v>
      </c>
      <c r="AB69" s="5">
        <v>1</v>
      </c>
    </row>
    <row r="70" spans="22:28">
      <c r="V70">
        <f t="shared" si="0"/>
        <v>65</v>
      </c>
      <c r="W70" s="5">
        <v>3</v>
      </c>
      <c r="X70" s="5">
        <v>3</v>
      </c>
      <c r="Y70" s="5">
        <v>2</v>
      </c>
      <c r="Z70" s="5">
        <v>2</v>
      </c>
      <c r="AA70" s="5">
        <v>1</v>
      </c>
      <c r="AB70" s="5">
        <v>1</v>
      </c>
    </row>
    <row r="71" spans="22:28">
      <c r="V71">
        <f t="shared" si="0"/>
        <v>66</v>
      </c>
      <c r="W71" s="5">
        <v>3</v>
      </c>
      <c r="X71" s="5">
        <v>3</v>
      </c>
      <c r="Y71" s="5">
        <v>2</v>
      </c>
      <c r="Z71" s="5">
        <v>2</v>
      </c>
      <c r="AA71" s="5">
        <v>1</v>
      </c>
      <c r="AB71" s="5">
        <v>1</v>
      </c>
    </row>
    <row r="72" spans="22:28">
      <c r="V72">
        <f t="shared" ref="V72:V135" si="3">V71+1</f>
        <v>67</v>
      </c>
      <c r="W72" s="5">
        <v>3</v>
      </c>
      <c r="X72" s="5">
        <v>3</v>
      </c>
      <c r="Y72" s="5">
        <v>2</v>
      </c>
      <c r="Z72" s="5">
        <v>2</v>
      </c>
      <c r="AA72" s="5">
        <v>1</v>
      </c>
      <c r="AB72" s="5">
        <v>1</v>
      </c>
    </row>
    <row r="73" spans="22:28">
      <c r="V73">
        <f t="shared" si="3"/>
        <v>68</v>
      </c>
      <c r="W73" s="5">
        <v>3</v>
      </c>
      <c r="X73" s="5">
        <v>3</v>
      </c>
      <c r="Y73" s="5">
        <v>2</v>
      </c>
      <c r="Z73" s="5">
        <v>2</v>
      </c>
      <c r="AA73" s="5">
        <v>1</v>
      </c>
      <c r="AB73" s="5">
        <v>1</v>
      </c>
    </row>
    <row r="74" spans="22:28">
      <c r="V74">
        <f t="shared" si="3"/>
        <v>69</v>
      </c>
      <c r="W74" s="5">
        <v>3</v>
      </c>
      <c r="X74" s="5">
        <v>3</v>
      </c>
      <c r="Y74" s="5">
        <v>2</v>
      </c>
      <c r="Z74" s="5">
        <v>2</v>
      </c>
      <c r="AA74" s="5">
        <v>1</v>
      </c>
      <c r="AB74" s="5">
        <v>1</v>
      </c>
    </row>
    <row r="75" spans="22:28">
      <c r="V75">
        <f t="shared" si="3"/>
        <v>70</v>
      </c>
      <c r="W75" s="5">
        <v>3</v>
      </c>
      <c r="X75" s="5">
        <v>3</v>
      </c>
      <c r="Y75" s="5">
        <v>2</v>
      </c>
      <c r="Z75" s="5">
        <v>2</v>
      </c>
      <c r="AA75" s="5">
        <v>1</v>
      </c>
      <c r="AB75" s="5">
        <v>1</v>
      </c>
    </row>
    <row r="76" spans="22:28">
      <c r="V76">
        <f t="shared" si="3"/>
        <v>71</v>
      </c>
      <c r="W76" s="5">
        <v>3</v>
      </c>
      <c r="X76" s="5">
        <v>3</v>
      </c>
      <c r="Y76" s="5">
        <v>2</v>
      </c>
      <c r="Z76" s="5">
        <v>2</v>
      </c>
      <c r="AA76" s="5">
        <v>1</v>
      </c>
      <c r="AB76" s="5">
        <v>1</v>
      </c>
    </row>
    <row r="77" spans="22:28">
      <c r="V77">
        <f t="shared" si="3"/>
        <v>72</v>
      </c>
      <c r="W77" s="5">
        <v>3</v>
      </c>
      <c r="X77" s="5">
        <v>3</v>
      </c>
      <c r="Y77" s="5">
        <v>2</v>
      </c>
      <c r="Z77" s="5">
        <v>2</v>
      </c>
      <c r="AA77" s="5">
        <v>1</v>
      </c>
      <c r="AB77" s="5">
        <v>1</v>
      </c>
    </row>
    <row r="78" spans="22:28">
      <c r="V78">
        <f t="shared" si="3"/>
        <v>73</v>
      </c>
      <c r="W78" s="5">
        <v>3</v>
      </c>
      <c r="X78" s="5">
        <v>3</v>
      </c>
      <c r="Y78" s="5">
        <v>2</v>
      </c>
      <c r="Z78" s="5">
        <v>2</v>
      </c>
      <c r="AA78" s="5">
        <v>1</v>
      </c>
      <c r="AB78" s="5">
        <v>1</v>
      </c>
    </row>
    <row r="79" spans="22:28">
      <c r="V79">
        <f t="shared" si="3"/>
        <v>74</v>
      </c>
      <c r="W79" s="5">
        <v>3</v>
      </c>
      <c r="X79" s="5">
        <v>3</v>
      </c>
      <c r="Y79" s="5">
        <v>2</v>
      </c>
      <c r="Z79" s="5">
        <v>2</v>
      </c>
      <c r="AA79" s="5">
        <v>1</v>
      </c>
      <c r="AB79" s="5">
        <v>1</v>
      </c>
    </row>
    <row r="80" spans="22:28">
      <c r="V80">
        <f t="shared" si="3"/>
        <v>75</v>
      </c>
      <c r="W80" s="5">
        <v>3</v>
      </c>
      <c r="X80" s="5">
        <v>3</v>
      </c>
      <c r="Y80" s="5">
        <v>2</v>
      </c>
      <c r="Z80" s="5">
        <v>2</v>
      </c>
      <c r="AA80" s="5">
        <v>1</v>
      </c>
      <c r="AB80" s="5">
        <v>1</v>
      </c>
    </row>
    <row r="81" spans="22:28">
      <c r="V81">
        <f t="shared" si="3"/>
        <v>76</v>
      </c>
      <c r="W81" s="5">
        <v>3</v>
      </c>
      <c r="X81" s="5">
        <v>3</v>
      </c>
      <c r="Y81" s="5">
        <v>2</v>
      </c>
      <c r="Z81" s="5">
        <v>2</v>
      </c>
      <c r="AA81" s="5">
        <v>1</v>
      </c>
      <c r="AB81" s="5">
        <v>1</v>
      </c>
    </row>
    <row r="82" spans="22:28">
      <c r="V82">
        <f t="shared" si="3"/>
        <v>77</v>
      </c>
      <c r="W82" s="5">
        <v>3</v>
      </c>
      <c r="X82" s="5">
        <v>3</v>
      </c>
      <c r="Y82" s="5">
        <v>2</v>
      </c>
      <c r="Z82" s="5">
        <v>2</v>
      </c>
      <c r="AA82" s="5">
        <v>1</v>
      </c>
      <c r="AB82" s="5">
        <v>1</v>
      </c>
    </row>
    <row r="83" spans="22:28">
      <c r="V83">
        <f t="shared" si="3"/>
        <v>78</v>
      </c>
      <c r="W83" s="5">
        <v>3</v>
      </c>
      <c r="X83" s="5">
        <v>3</v>
      </c>
      <c r="Y83" s="5">
        <v>2</v>
      </c>
      <c r="Z83" s="5">
        <v>2</v>
      </c>
      <c r="AA83" s="5">
        <v>1</v>
      </c>
      <c r="AB83" s="5">
        <v>1</v>
      </c>
    </row>
    <row r="84" spans="22:28">
      <c r="V84">
        <f t="shared" si="3"/>
        <v>79</v>
      </c>
      <c r="W84" s="5">
        <v>3</v>
      </c>
      <c r="X84" s="5">
        <v>3</v>
      </c>
      <c r="Y84" s="5">
        <v>2</v>
      </c>
      <c r="Z84" s="5">
        <v>2</v>
      </c>
      <c r="AA84" s="5">
        <v>1</v>
      </c>
      <c r="AB84" s="5">
        <v>1</v>
      </c>
    </row>
    <row r="85" spans="22:28">
      <c r="V85">
        <f t="shared" si="3"/>
        <v>80</v>
      </c>
      <c r="W85" s="5">
        <v>3</v>
      </c>
      <c r="X85" s="5">
        <v>3</v>
      </c>
      <c r="Y85" s="5">
        <v>2</v>
      </c>
      <c r="Z85" s="5">
        <v>2</v>
      </c>
      <c r="AA85" s="5">
        <v>1</v>
      </c>
      <c r="AB85" s="5">
        <v>1</v>
      </c>
    </row>
    <row r="86" spans="22:28">
      <c r="V86">
        <f t="shared" si="3"/>
        <v>81</v>
      </c>
      <c r="W86" s="5">
        <v>3</v>
      </c>
      <c r="X86" s="5">
        <v>3</v>
      </c>
      <c r="Y86" s="5">
        <v>2</v>
      </c>
      <c r="Z86" s="5">
        <v>2</v>
      </c>
      <c r="AA86" s="5">
        <v>1</v>
      </c>
      <c r="AB86" s="5">
        <v>1</v>
      </c>
    </row>
    <row r="87" spans="22:28">
      <c r="V87">
        <f t="shared" si="3"/>
        <v>82</v>
      </c>
      <c r="W87" s="5">
        <v>3</v>
      </c>
      <c r="X87" s="5">
        <v>3</v>
      </c>
      <c r="Y87" s="5">
        <v>2</v>
      </c>
      <c r="Z87" s="5">
        <v>2</v>
      </c>
      <c r="AA87" s="5">
        <v>1</v>
      </c>
      <c r="AB87" s="5">
        <v>1</v>
      </c>
    </row>
    <row r="88" spans="22:28">
      <c r="V88">
        <f t="shared" si="3"/>
        <v>83</v>
      </c>
      <c r="W88" s="5">
        <v>3</v>
      </c>
      <c r="X88" s="5">
        <v>3</v>
      </c>
      <c r="Y88" s="5">
        <v>2</v>
      </c>
      <c r="Z88" s="5">
        <v>2</v>
      </c>
      <c r="AA88" s="5">
        <v>1</v>
      </c>
      <c r="AB88" s="5">
        <v>1</v>
      </c>
    </row>
    <row r="89" spans="22:28">
      <c r="V89">
        <f t="shared" si="3"/>
        <v>84</v>
      </c>
      <c r="W89" s="5">
        <v>3</v>
      </c>
      <c r="X89" s="5">
        <v>3</v>
      </c>
      <c r="Y89" s="5">
        <v>2</v>
      </c>
      <c r="Z89" s="5">
        <v>2</v>
      </c>
      <c r="AA89" s="5">
        <v>1</v>
      </c>
      <c r="AB89" s="5">
        <v>1</v>
      </c>
    </row>
    <row r="90" spans="22:28">
      <c r="V90">
        <f t="shared" si="3"/>
        <v>85</v>
      </c>
      <c r="W90" s="5">
        <v>3</v>
      </c>
      <c r="X90" s="5">
        <v>3</v>
      </c>
      <c r="Y90" s="5">
        <v>2</v>
      </c>
      <c r="Z90" s="5">
        <v>2</v>
      </c>
      <c r="AA90" s="5">
        <v>1</v>
      </c>
      <c r="AB90" s="5">
        <v>1</v>
      </c>
    </row>
    <row r="91" spans="22:28">
      <c r="V91">
        <f t="shared" si="3"/>
        <v>86</v>
      </c>
      <c r="W91" s="5">
        <v>3</v>
      </c>
      <c r="X91" s="5">
        <v>3</v>
      </c>
      <c r="Y91" s="5">
        <v>2</v>
      </c>
      <c r="Z91" s="5">
        <v>2</v>
      </c>
      <c r="AA91" s="5">
        <v>1</v>
      </c>
      <c r="AB91" s="5">
        <v>1</v>
      </c>
    </row>
    <row r="92" spans="22:28">
      <c r="V92">
        <f t="shared" si="3"/>
        <v>87</v>
      </c>
      <c r="W92" s="5">
        <v>3</v>
      </c>
      <c r="X92" s="5">
        <v>3</v>
      </c>
      <c r="Y92" s="5">
        <v>2</v>
      </c>
      <c r="Z92" s="5">
        <v>2</v>
      </c>
      <c r="AA92" s="5">
        <v>1</v>
      </c>
      <c r="AB92" s="5">
        <v>1</v>
      </c>
    </row>
    <row r="93" spans="22:28">
      <c r="V93">
        <f t="shared" si="3"/>
        <v>88</v>
      </c>
      <c r="W93" s="5">
        <v>3</v>
      </c>
      <c r="X93" s="5">
        <v>3</v>
      </c>
      <c r="Y93" s="5">
        <v>2</v>
      </c>
      <c r="Z93" s="5">
        <v>2</v>
      </c>
      <c r="AA93" s="5">
        <v>1</v>
      </c>
      <c r="AB93" s="5">
        <v>1</v>
      </c>
    </row>
    <row r="94" spans="22:28">
      <c r="V94">
        <f t="shared" si="3"/>
        <v>89</v>
      </c>
      <c r="W94" s="5">
        <v>3</v>
      </c>
      <c r="X94" s="5">
        <v>3</v>
      </c>
      <c r="Y94" s="5">
        <v>2</v>
      </c>
      <c r="Z94" s="5">
        <v>2</v>
      </c>
      <c r="AA94" s="5">
        <v>1</v>
      </c>
      <c r="AB94" s="5">
        <v>1</v>
      </c>
    </row>
    <row r="95" spans="22:28">
      <c r="V95">
        <f t="shared" si="3"/>
        <v>90</v>
      </c>
      <c r="W95" s="5">
        <v>3</v>
      </c>
      <c r="X95" s="5">
        <v>3</v>
      </c>
      <c r="Y95" s="5">
        <v>2</v>
      </c>
      <c r="Z95" s="5">
        <v>2</v>
      </c>
      <c r="AA95" s="5">
        <v>1</v>
      </c>
      <c r="AB95" s="5">
        <v>1</v>
      </c>
    </row>
    <row r="96" spans="22:28">
      <c r="V96">
        <f t="shared" si="3"/>
        <v>91</v>
      </c>
      <c r="W96" s="5">
        <v>3</v>
      </c>
      <c r="X96" s="5">
        <v>3</v>
      </c>
      <c r="Y96" s="5">
        <v>2</v>
      </c>
      <c r="Z96" s="5">
        <v>2</v>
      </c>
      <c r="AA96" s="5">
        <v>1</v>
      </c>
      <c r="AB96" s="5">
        <v>1</v>
      </c>
    </row>
    <row r="97" spans="22:28">
      <c r="V97">
        <f t="shared" si="3"/>
        <v>92</v>
      </c>
      <c r="W97" s="5">
        <v>3</v>
      </c>
      <c r="X97" s="5">
        <v>3</v>
      </c>
      <c r="Y97" s="5">
        <v>2</v>
      </c>
      <c r="Z97" s="5">
        <v>2</v>
      </c>
      <c r="AA97" s="5">
        <v>1</v>
      </c>
      <c r="AB97" s="5">
        <v>1</v>
      </c>
    </row>
    <row r="98" spans="22:28">
      <c r="V98">
        <f t="shared" si="3"/>
        <v>93</v>
      </c>
      <c r="W98" s="5">
        <v>3</v>
      </c>
      <c r="X98" s="5">
        <v>3</v>
      </c>
      <c r="Y98" s="5">
        <v>2</v>
      </c>
      <c r="Z98" s="5">
        <v>2</v>
      </c>
      <c r="AA98" s="5">
        <v>1</v>
      </c>
      <c r="AB98" s="5">
        <v>1</v>
      </c>
    </row>
    <row r="99" spans="22:28">
      <c r="V99">
        <f t="shared" si="3"/>
        <v>94</v>
      </c>
      <c r="W99" s="5">
        <v>3</v>
      </c>
      <c r="X99" s="5">
        <v>3</v>
      </c>
      <c r="Y99" s="5">
        <v>2</v>
      </c>
      <c r="Z99" s="5">
        <v>2</v>
      </c>
      <c r="AA99" s="5">
        <v>1</v>
      </c>
      <c r="AB99" s="5">
        <v>1</v>
      </c>
    </row>
    <row r="100" spans="22:28">
      <c r="V100">
        <f t="shared" si="3"/>
        <v>95</v>
      </c>
      <c r="W100" s="5">
        <v>3</v>
      </c>
      <c r="X100" s="5">
        <v>3</v>
      </c>
      <c r="Y100" s="5">
        <v>2</v>
      </c>
      <c r="Z100" s="5">
        <v>2</v>
      </c>
      <c r="AA100" s="5">
        <v>1</v>
      </c>
      <c r="AB100" s="5">
        <v>1</v>
      </c>
    </row>
    <row r="101" spans="22:28">
      <c r="V101">
        <f t="shared" si="3"/>
        <v>96</v>
      </c>
      <c r="W101" s="5">
        <v>3</v>
      </c>
      <c r="X101" s="5">
        <v>3</v>
      </c>
      <c r="Y101" s="5">
        <v>2</v>
      </c>
      <c r="Z101" s="5">
        <v>2</v>
      </c>
      <c r="AA101" s="5">
        <v>1</v>
      </c>
      <c r="AB101" s="5">
        <v>1</v>
      </c>
    </row>
    <row r="102" spans="22:28">
      <c r="V102">
        <f t="shared" si="3"/>
        <v>97</v>
      </c>
      <c r="W102" s="5">
        <v>3</v>
      </c>
      <c r="X102" s="5">
        <v>3</v>
      </c>
      <c r="Y102" s="5">
        <v>2</v>
      </c>
      <c r="Z102" s="5">
        <v>2</v>
      </c>
      <c r="AA102" s="5">
        <v>1</v>
      </c>
      <c r="AB102" s="5">
        <v>1</v>
      </c>
    </row>
    <row r="103" spans="22:28">
      <c r="V103">
        <f t="shared" si="3"/>
        <v>98</v>
      </c>
      <c r="W103" s="5">
        <v>3</v>
      </c>
      <c r="X103" s="5">
        <v>3</v>
      </c>
      <c r="Y103" s="5">
        <v>2</v>
      </c>
      <c r="Z103" s="5">
        <v>2</v>
      </c>
      <c r="AA103" s="5">
        <v>1</v>
      </c>
      <c r="AB103" s="5">
        <v>1</v>
      </c>
    </row>
    <row r="104" spans="22:28">
      <c r="V104">
        <f t="shared" si="3"/>
        <v>99</v>
      </c>
      <c r="W104" s="5">
        <v>3</v>
      </c>
      <c r="X104" s="5">
        <v>3</v>
      </c>
      <c r="Y104" s="5">
        <v>2</v>
      </c>
      <c r="Z104" s="5">
        <v>2</v>
      </c>
      <c r="AA104" s="5">
        <v>1</v>
      </c>
      <c r="AB104" s="5">
        <v>1</v>
      </c>
    </row>
    <row r="105" spans="22:28">
      <c r="V105">
        <f t="shared" si="3"/>
        <v>100</v>
      </c>
      <c r="W105" s="5">
        <v>3</v>
      </c>
      <c r="X105" s="5">
        <v>3</v>
      </c>
      <c r="Y105" s="5">
        <v>2</v>
      </c>
      <c r="Z105" s="5">
        <v>2</v>
      </c>
      <c r="AA105" s="5">
        <v>1</v>
      </c>
      <c r="AB105" s="5">
        <v>1</v>
      </c>
    </row>
    <row r="106" spans="22:28">
      <c r="V106">
        <f t="shared" si="3"/>
        <v>101</v>
      </c>
      <c r="W106" s="5">
        <v>4</v>
      </c>
      <c r="X106" s="5">
        <v>3</v>
      </c>
      <c r="Y106" s="5">
        <v>3</v>
      </c>
      <c r="Z106" s="5">
        <v>3</v>
      </c>
      <c r="AA106" s="5">
        <v>2</v>
      </c>
      <c r="AB106" s="5">
        <v>1</v>
      </c>
    </row>
    <row r="107" spans="22:28">
      <c r="V107">
        <f t="shared" si="3"/>
        <v>102</v>
      </c>
      <c r="W107" s="5">
        <v>4</v>
      </c>
      <c r="X107" s="5">
        <v>3</v>
      </c>
      <c r="Y107" s="5">
        <v>3</v>
      </c>
      <c r="Z107" s="5">
        <v>3</v>
      </c>
      <c r="AA107" s="5">
        <v>2</v>
      </c>
      <c r="AB107" s="5">
        <v>1</v>
      </c>
    </row>
    <row r="108" spans="22:28">
      <c r="V108">
        <f t="shared" si="3"/>
        <v>103</v>
      </c>
      <c r="W108" s="5">
        <v>4</v>
      </c>
      <c r="X108" s="5">
        <v>3</v>
      </c>
      <c r="Y108" s="5">
        <v>3</v>
      </c>
      <c r="Z108" s="5">
        <v>3</v>
      </c>
      <c r="AA108" s="5">
        <v>2</v>
      </c>
      <c r="AB108" s="5">
        <v>1</v>
      </c>
    </row>
    <row r="109" spans="22:28">
      <c r="V109">
        <f t="shared" si="3"/>
        <v>104</v>
      </c>
      <c r="W109" s="5">
        <v>4</v>
      </c>
      <c r="X109" s="5">
        <v>3</v>
      </c>
      <c r="Y109" s="5">
        <v>3</v>
      </c>
      <c r="Z109" s="5">
        <v>3</v>
      </c>
      <c r="AA109" s="5">
        <v>2</v>
      </c>
      <c r="AB109" s="5">
        <v>1</v>
      </c>
    </row>
    <row r="110" spans="22:28">
      <c r="V110">
        <f t="shared" si="3"/>
        <v>105</v>
      </c>
      <c r="W110" s="5">
        <v>4</v>
      </c>
      <c r="X110" s="5">
        <v>3</v>
      </c>
      <c r="Y110" s="5">
        <v>3</v>
      </c>
      <c r="Z110" s="5">
        <v>3</v>
      </c>
      <c r="AA110" s="5">
        <v>2</v>
      </c>
      <c r="AB110" s="5">
        <v>1</v>
      </c>
    </row>
    <row r="111" spans="22:28">
      <c r="V111">
        <f t="shared" si="3"/>
        <v>106</v>
      </c>
      <c r="W111" s="5">
        <v>4</v>
      </c>
      <c r="X111" s="5">
        <v>3</v>
      </c>
      <c r="Y111" s="5">
        <v>3</v>
      </c>
      <c r="Z111" s="5">
        <v>3</v>
      </c>
      <c r="AA111" s="5">
        <v>2</v>
      </c>
      <c r="AB111" s="5">
        <v>1</v>
      </c>
    </row>
    <row r="112" spans="22:28">
      <c r="V112">
        <f t="shared" si="3"/>
        <v>107</v>
      </c>
      <c r="W112" s="5">
        <v>4</v>
      </c>
      <c r="X112" s="5">
        <v>3</v>
      </c>
      <c r="Y112" s="5">
        <v>3</v>
      </c>
      <c r="Z112" s="5">
        <v>3</v>
      </c>
      <c r="AA112" s="5">
        <v>2</v>
      </c>
      <c r="AB112" s="5">
        <v>1</v>
      </c>
    </row>
    <row r="113" spans="22:28">
      <c r="V113">
        <f t="shared" si="3"/>
        <v>108</v>
      </c>
      <c r="W113" s="5">
        <v>4</v>
      </c>
      <c r="X113" s="5">
        <v>3</v>
      </c>
      <c r="Y113" s="5">
        <v>3</v>
      </c>
      <c r="Z113" s="5">
        <v>3</v>
      </c>
      <c r="AA113" s="5">
        <v>2</v>
      </c>
      <c r="AB113" s="5">
        <v>1</v>
      </c>
    </row>
    <row r="114" spans="22:28">
      <c r="V114">
        <f t="shared" si="3"/>
        <v>109</v>
      </c>
      <c r="W114" s="5">
        <v>4</v>
      </c>
      <c r="X114" s="5">
        <v>3</v>
      </c>
      <c r="Y114" s="5">
        <v>3</v>
      </c>
      <c r="Z114" s="5">
        <v>3</v>
      </c>
      <c r="AA114" s="5">
        <v>2</v>
      </c>
      <c r="AB114" s="5">
        <v>1</v>
      </c>
    </row>
    <row r="115" spans="22:28">
      <c r="V115">
        <f t="shared" si="3"/>
        <v>110</v>
      </c>
      <c r="W115" s="5">
        <v>4</v>
      </c>
      <c r="X115" s="5">
        <v>3</v>
      </c>
      <c r="Y115" s="5">
        <v>3</v>
      </c>
      <c r="Z115" s="5">
        <v>3</v>
      </c>
      <c r="AA115" s="5">
        <v>2</v>
      </c>
      <c r="AB115" s="5">
        <v>1</v>
      </c>
    </row>
    <row r="116" spans="22:28">
      <c r="V116">
        <f t="shared" si="3"/>
        <v>111</v>
      </c>
      <c r="W116" s="5">
        <v>4</v>
      </c>
      <c r="X116" s="5">
        <v>3</v>
      </c>
      <c r="Y116" s="5">
        <v>3</v>
      </c>
      <c r="Z116" s="5">
        <v>3</v>
      </c>
      <c r="AA116" s="5">
        <v>2</v>
      </c>
      <c r="AB116" s="5">
        <v>1</v>
      </c>
    </row>
    <row r="117" spans="22:28">
      <c r="V117">
        <f t="shared" si="3"/>
        <v>112</v>
      </c>
      <c r="W117" s="5">
        <v>4</v>
      </c>
      <c r="X117" s="5">
        <v>3</v>
      </c>
      <c r="Y117" s="5">
        <v>3</v>
      </c>
      <c r="Z117" s="5">
        <v>3</v>
      </c>
      <c r="AA117" s="5">
        <v>2</v>
      </c>
      <c r="AB117" s="5">
        <v>1</v>
      </c>
    </row>
    <row r="118" spans="22:28">
      <c r="V118">
        <f t="shared" si="3"/>
        <v>113</v>
      </c>
      <c r="W118" s="5">
        <v>4</v>
      </c>
      <c r="X118" s="5">
        <v>3</v>
      </c>
      <c r="Y118" s="5">
        <v>3</v>
      </c>
      <c r="Z118" s="5">
        <v>3</v>
      </c>
      <c r="AA118" s="5">
        <v>2</v>
      </c>
      <c r="AB118" s="5">
        <v>1</v>
      </c>
    </row>
    <row r="119" spans="22:28">
      <c r="V119">
        <f t="shared" si="3"/>
        <v>114</v>
      </c>
      <c r="W119" s="5">
        <v>4</v>
      </c>
      <c r="X119" s="5">
        <v>3</v>
      </c>
      <c r="Y119" s="5">
        <v>3</v>
      </c>
      <c r="Z119" s="5">
        <v>3</v>
      </c>
      <c r="AA119" s="5">
        <v>2</v>
      </c>
      <c r="AB119" s="5">
        <v>1</v>
      </c>
    </row>
    <row r="120" spans="22:28">
      <c r="V120">
        <f t="shared" si="3"/>
        <v>115</v>
      </c>
      <c r="W120" s="5">
        <v>4</v>
      </c>
      <c r="X120" s="5">
        <v>3</v>
      </c>
      <c r="Y120" s="5">
        <v>3</v>
      </c>
      <c r="Z120" s="5">
        <v>3</v>
      </c>
      <c r="AA120" s="5">
        <v>2</v>
      </c>
      <c r="AB120" s="5">
        <v>1</v>
      </c>
    </row>
    <row r="121" spans="22:28">
      <c r="V121">
        <f t="shared" si="3"/>
        <v>116</v>
      </c>
      <c r="W121" s="5">
        <v>4</v>
      </c>
      <c r="X121" s="5">
        <v>3</v>
      </c>
      <c r="Y121" s="5">
        <v>3</v>
      </c>
      <c r="Z121" s="5">
        <v>3</v>
      </c>
      <c r="AA121" s="5">
        <v>2</v>
      </c>
      <c r="AB121" s="5">
        <v>1</v>
      </c>
    </row>
    <row r="122" spans="22:28">
      <c r="V122">
        <f t="shared" si="3"/>
        <v>117</v>
      </c>
      <c r="W122" s="5">
        <v>4</v>
      </c>
      <c r="X122" s="5">
        <v>3</v>
      </c>
      <c r="Y122" s="5">
        <v>3</v>
      </c>
      <c r="Z122" s="5">
        <v>3</v>
      </c>
      <c r="AA122" s="5">
        <v>2</v>
      </c>
      <c r="AB122" s="5">
        <v>1</v>
      </c>
    </row>
    <row r="123" spans="22:28">
      <c r="V123">
        <f t="shared" si="3"/>
        <v>118</v>
      </c>
      <c r="W123" s="5">
        <v>4</v>
      </c>
      <c r="X123" s="5">
        <v>3</v>
      </c>
      <c r="Y123" s="5">
        <v>3</v>
      </c>
      <c r="Z123" s="5">
        <v>3</v>
      </c>
      <c r="AA123" s="5">
        <v>2</v>
      </c>
      <c r="AB123" s="5">
        <v>1</v>
      </c>
    </row>
    <row r="124" spans="22:28">
      <c r="V124">
        <f t="shared" si="3"/>
        <v>119</v>
      </c>
      <c r="W124" s="5">
        <v>4</v>
      </c>
      <c r="X124" s="5">
        <v>3</v>
      </c>
      <c r="Y124" s="5">
        <v>3</v>
      </c>
      <c r="Z124" s="5">
        <v>3</v>
      </c>
      <c r="AA124" s="5">
        <v>2</v>
      </c>
      <c r="AB124" s="5">
        <v>1</v>
      </c>
    </row>
    <row r="125" spans="22:28">
      <c r="V125">
        <f t="shared" si="3"/>
        <v>120</v>
      </c>
      <c r="W125" s="5">
        <v>4</v>
      </c>
      <c r="X125" s="5">
        <v>3</v>
      </c>
      <c r="Y125" s="5">
        <v>3</v>
      </c>
      <c r="Z125" s="5">
        <v>3</v>
      </c>
      <c r="AA125" s="5">
        <v>2</v>
      </c>
      <c r="AB125" s="5">
        <v>1</v>
      </c>
    </row>
    <row r="126" spans="22:28">
      <c r="V126">
        <f t="shared" si="3"/>
        <v>121</v>
      </c>
      <c r="W126" s="5">
        <v>4</v>
      </c>
      <c r="X126" s="5">
        <v>3</v>
      </c>
      <c r="Y126" s="5">
        <v>3</v>
      </c>
      <c r="Z126" s="5">
        <v>3</v>
      </c>
      <c r="AA126" s="5">
        <v>2</v>
      </c>
      <c r="AB126" s="5">
        <v>1</v>
      </c>
    </row>
    <row r="127" spans="22:28">
      <c r="V127">
        <f t="shared" si="3"/>
        <v>122</v>
      </c>
      <c r="W127" s="5">
        <v>4</v>
      </c>
      <c r="X127" s="5">
        <v>3</v>
      </c>
      <c r="Y127" s="5">
        <v>3</v>
      </c>
      <c r="Z127" s="5">
        <v>3</v>
      </c>
      <c r="AA127" s="5">
        <v>2</v>
      </c>
      <c r="AB127" s="5">
        <v>1</v>
      </c>
    </row>
    <row r="128" spans="22:28">
      <c r="V128">
        <f t="shared" si="3"/>
        <v>123</v>
      </c>
      <c r="W128" s="5">
        <v>4</v>
      </c>
      <c r="X128" s="5">
        <v>3</v>
      </c>
      <c r="Y128" s="5">
        <v>3</v>
      </c>
      <c r="Z128" s="5">
        <v>3</v>
      </c>
      <c r="AA128" s="5">
        <v>2</v>
      </c>
      <c r="AB128" s="5">
        <v>1</v>
      </c>
    </row>
    <row r="129" spans="22:28">
      <c r="V129">
        <f t="shared" si="3"/>
        <v>124</v>
      </c>
      <c r="W129" s="5">
        <v>4</v>
      </c>
      <c r="X129" s="5">
        <v>3</v>
      </c>
      <c r="Y129" s="5">
        <v>3</v>
      </c>
      <c r="Z129" s="5">
        <v>3</v>
      </c>
      <c r="AA129" s="5">
        <v>2</v>
      </c>
      <c r="AB129" s="5">
        <v>1</v>
      </c>
    </row>
    <row r="130" spans="22:28">
      <c r="V130">
        <f t="shared" si="3"/>
        <v>125</v>
      </c>
      <c r="W130" s="5">
        <v>4</v>
      </c>
      <c r="X130" s="5">
        <v>3</v>
      </c>
      <c r="Y130" s="5">
        <v>3</v>
      </c>
      <c r="Z130" s="5">
        <v>3</v>
      </c>
      <c r="AA130" s="5">
        <v>2</v>
      </c>
      <c r="AB130" s="5">
        <v>1</v>
      </c>
    </row>
    <row r="131" spans="22:28">
      <c r="V131">
        <f t="shared" si="3"/>
        <v>126</v>
      </c>
      <c r="W131" s="5">
        <v>4</v>
      </c>
      <c r="X131" s="5">
        <v>3</v>
      </c>
      <c r="Y131" s="5">
        <v>3</v>
      </c>
      <c r="Z131" s="5">
        <v>3</v>
      </c>
      <c r="AA131" s="5">
        <v>2</v>
      </c>
      <c r="AB131" s="5">
        <v>1</v>
      </c>
    </row>
    <row r="132" spans="22:28">
      <c r="V132">
        <f t="shared" si="3"/>
        <v>127</v>
      </c>
      <c r="W132" s="5">
        <v>4</v>
      </c>
      <c r="X132" s="5">
        <v>3</v>
      </c>
      <c r="Y132" s="5">
        <v>3</v>
      </c>
      <c r="Z132" s="5">
        <v>3</v>
      </c>
      <c r="AA132" s="5">
        <v>2</v>
      </c>
      <c r="AB132" s="5">
        <v>1</v>
      </c>
    </row>
    <row r="133" spans="22:28">
      <c r="V133">
        <f t="shared" si="3"/>
        <v>128</v>
      </c>
      <c r="W133" s="5">
        <v>4</v>
      </c>
      <c r="X133" s="5">
        <v>3</v>
      </c>
      <c r="Y133" s="5">
        <v>3</v>
      </c>
      <c r="Z133" s="5">
        <v>3</v>
      </c>
      <c r="AA133" s="5">
        <v>2</v>
      </c>
      <c r="AB133" s="5">
        <v>1</v>
      </c>
    </row>
    <row r="134" spans="22:28">
      <c r="V134">
        <f t="shared" si="3"/>
        <v>129</v>
      </c>
      <c r="W134" s="5">
        <v>4</v>
      </c>
      <c r="X134" s="5">
        <v>3</v>
      </c>
      <c r="Y134" s="5">
        <v>3</v>
      </c>
      <c r="Z134" s="5">
        <v>3</v>
      </c>
      <c r="AA134" s="5">
        <v>2</v>
      </c>
      <c r="AB134" s="5">
        <v>1</v>
      </c>
    </row>
    <row r="135" spans="22:28">
      <c r="V135">
        <f t="shared" si="3"/>
        <v>130</v>
      </c>
      <c r="W135" s="5">
        <v>4</v>
      </c>
      <c r="X135" s="5">
        <v>3</v>
      </c>
      <c r="Y135" s="5">
        <v>3</v>
      </c>
      <c r="Z135" s="5">
        <v>3</v>
      </c>
      <c r="AA135" s="5">
        <v>2</v>
      </c>
      <c r="AB135" s="5">
        <v>1</v>
      </c>
    </row>
    <row r="136" spans="22:28">
      <c r="V136">
        <f t="shared" ref="V136:V199" si="4">V135+1</f>
        <v>131</v>
      </c>
      <c r="W136" s="5">
        <v>4</v>
      </c>
      <c r="X136" s="5">
        <v>4</v>
      </c>
      <c r="Y136" s="5">
        <v>3</v>
      </c>
      <c r="Z136" s="5">
        <v>3</v>
      </c>
      <c r="AA136" s="5">
        <v>2</v>
      </c>
      <c r="AB136" s="5">
        <v>1</v>
      </c>
    </row>
    <row r="137" spans="22:28">
      <c r="V137">
        <f t="shared" si="4"/>
        <v>132</v>
      </c>
      <c r="W137" s="5">
        <v>4</v>
      </c>
      <c r="X137" s="5">
        <v>4</v>
      </c>
      <c r="Y137" s="5">
        <v>3</v>
      </c>
      <c r="Z137" s="5">
        <v>3</v>
      </c>
      <c r="AA137" s="5">
        <v>2</v>
      </c>
      <c r="AB137" s="5">
        <v>1</v>
      </c>
    </row>
    <row r="138" spans="22:28">
      <c r="V138">
        <f t="shared" si="4"/>
        <v>133</v>
      </c>
      <c r="W138" s="5">
        <v>4</v>
      </c>
      <c r="X138" s="5">
        <v>4</v>
      </c>
      <c r="Y138" s="5">
        <v>3</v>
      </c>
      <c r="Z138" s="5">
        <v>3</v>
      </c>
      <c r="AA138" s="5">
        <v>2</v>
      </c>
      <c r="AB138" s="5">
        <v>1</v>
      </c>
    </row>
    <row r="139" spans="22:28">
      <c r="V139">
        <f t="shared" si="4"/>
        <v>134</v>
      </c>
      <c r="W139" s="5">
        <v>4</v>
      </c>
      <c r="X139" s="5">
        <v>4</v>
      </c>
      <c r="Y139" s="5">
        <v>3</v>
      </c>
      <c r="Z139" s="5">
        <v>3</v>
      </c>
      <c r="AA139" s="5">
        <v>2</v>
      </c>
      <c r="AB139" s="5">
        <v>1</v>
      </c>
    </row>
    <row r="140" spans="22:28">
      <c r="V140">
        <f t="shared" si="4"/>
        <v>135</v>
      </c>
      <c r="W140" s="5">
        <v>4</v>
      </c>
      <c r="X140" s="5">
        <v>4</v>
      </c>
      <c r="Y140" s="5">
        <v>3</v>
      </c>
      <c r="Z140" s="5">
        <v>3</v>
      </c>
      <c r="AA140" s="5">
        <v>2</v>
      </c>
      <c r="AB140" s="5">
        <v>1</v>
      </c>
    </row>
    <row r="141" spans="22:28">
      <c r="V141">
        <f t="shared" si="4"/>
        <v>136</v>
      </c>
      <c r="W141" s="5">
        <v>4</v>
      </c>
      <c r="X141" s="5">
        <v>4</v>
      </c>
      <c r="Y141" s="5">
        <v>3</v>
      </c>
      <c r="Z141" s="5">
        <v>3</v>
      </c>
      <c r="AA141" s="5">
        <v>2</v>
      </c>
      <c r="AB141" s="5">
        <v>1</v>
      </c>
    </row>
    <row r="142" spans="22:28">
      <c r="V142">
        <f t="shared" si="4"/>
        <v>137</v>
      </c>
      <c r="W142" s="5">
        <v>4</v>
      </c>
      <c r="X142" s="5">
        <v>4</v>
      </c>
      <c r="Y142" s="5">
        <v>3</v>
      </c>
      <c r="Z142" s="5">
        <v>3</v>
      </c>
      <c r="AA142" s="5">
        <v>2</v>
      </c>
      <c r="AB142" s="5">
        <v>1</v>
      </c>
    </row>
    <row r="143" spans="22:28">
      <c r="V143">
        <f t="shared" si="4"/>
        <v>138</v>
      </c>
      <c r="W143" s="5">
        <v>4</v>
      </c>
      <c r="X143" s="5">
        <v>4</v>
      </c>
      <c r="Y143" s="5">
        <v>3</v>
      </c>
      <c r="Z143" s="5">
        <v>3</v>
      </c>
      <c r="AA143" s="5">
        <v>2</v>
      </c>
      <c r="AB143" s="5">
        <v>1</v>
      </c>
    </row>
    <row r="144" spans="22:28">
      <c r="V144">
        <f t="shared" si="4"/>
        <v>139</v>
      </c>
      <c r="W144" s="5">
        <v>4</v>
      </c>
      <c r="X144" s="5">
        <v>4</v>
      </c>
      <c r="Y144" s="5">
        <v>3</v>
      </c>
      <c r="Z144" s="5">
        <v>3</v>
      </c>
      <c r="AA144" s="5">
        <v>2</v>
      </c>
      <c r="AB144" s="5">
        <v>1</v>
      </c>
    </row>
    <row r="145" spans="22:28">
      <c r="V145">
        <f t="shared" si="4"/>
        <v>140</v>
      </c>
      <c r="W145" s="5">
        <v>4</v>
      </c>
      <c r="X145" s="5">
        <v>4</v>
      </c>
      <c r="Y145" s="5">
        <v>3</v>
      </c>
      <c r="Z145" s="5">
        <v>3</v>
      </c>
      <c r="AA145" s="5">
        <v>2</v>
      </c>
      <c r="AB145" s="5">
        <v>1</v>
      </c>
    </row>
    <row r="146" spans="22:28">
      <c r="V146">
        <f t="shared" si="4"/>
        <v>141</v>
      </c>
      <c r="W146" s="5">
        <v>4</v>
      </c>
      <c r="X146" s="5">
        <v>4</v>
      </c>
      <c r="Y146" s="5">
        <v>3</v>
      </c>
      <c r="Z146" s="5">
        <v>3</v>
      </c>
      <c r="AA146" s="5">
        <v>2</v>
      </c>
      <c r="AB146" s="5">
        <v>1</v>
      </c>
    </row>
    <row r="147" spans="22:28">
      <c r="V147">
        <f t="shared" si="4"/>
        <v>142</v>
      </c>
      <c r="W147" s="5">
        <v>4</v>
      </c>
      <c r="X147" s="5">
        <v>4</v>
      </c>
      <c r="Y147" s="5">
        <v>3</v>
      </c>
      <c r="Z147" s="5">
        <v>3</v>
      </c>
      <c r="AA147" s="5">
        <v>2</v>
      </c>
      <c r="AB147" s="5">
        <v>1</v>
      </c>
    </row>
    <row r="148" spans="22:28">
      <c r="V148">
        <f t="shared" si="4"/>
        <v>143</v>
      </c>
      <c r="W148" s="5">
        <v>4</v>
      </c>
      <c r="X148" s="5">
        <v>4</v>
      </c>
      <c r="Y148" s="5">
        <v>3</v>
      </c>
      <c r="Z148" s="5">
        <v>3</v>
      </c>
      <c r="AA148" s="5">
        <v>2</v>
      </c>
      <c r="AB148" s="5">
        <v>1</v>
      </c>
    </row>
    <row r="149" spans="22:28">
      <c r="V149">
        <f t="shared" si="4"/>
        <v>144</v>
      </c>
      <c r="W149" s="5">
        <v>4</v>
      </c>
      <c r="X149" s="5">
        <v>4</v>
      </c>
      <c r="Y149" s="5">
        <v>3</v>
      </c>
      <c r="Z149" s="5">
        <v>3</v>
      </c>
      <c r="AA149" s="5">
        <v>2</v>
      </c>
      <c r="AB149" s="5">
        <v>1</v>
      </c>
    </row>
    <row r="150" spans="22:28">
      <c r="V150">
        <f t="shared" si="4"/>
        <v>145</v>
      </c>
      <c r="W150" s="5">
        <v>4</v>
      </c>
      <c r="X150" s="5">
        <v>4</v>
      </c>
      <c r="Y150" s="5">
        <v>3</v>
      </c>
      <c r="Z150" s="5">
        <v>3</v>
      </c>
      <c r="AA150" s="5">
        <v>2</v>
      </c>
      <c r="AB150" s="5">
        <v>1</v>
      </c>
    </row>
    <row r="151" spans="22:28">
      <c r="V151">
        <f t="shared" si="4"/>
        <v>146</v>
      </c>
      <c r="W151" s="5">
        <v>4</v>
      </c>
      <c r="X151" s="5">
        <v>4</v>
      </c>
      <c r="Y151" s="5">
        <v>3</v>
      </c>
      <c r="Z151" s="5">
        <v>3</v>
      </c>
      <c r="AA151" s="5">
        <v>2</v>
      </c>
      <c r="AB151" s="5">
        <v>1</v>
      </c>
    </row>
    <row r="152" spans="22:28">
      <c r="V152">
        <f t="shared" si="4"/>
        <v>147</v>
      </c>
      <c r="W152" s="5">
        <v>4</v>
      </c>
      <c r="X152" s="5">
        <v>4</v>
      </c>
      <c r="Y152" s="5">
        <v>3</v>
      </c>
      <c r="Z152" s="5">
        <v>3</v>
      </c>
      <c r="AA152" s="5">
        <v>2</v>
      </c>
      <c r="AB152" s="5">
        <v>1</v>
      </c>
    </row>
    <row r="153" spans="22:28">
      <c r="V153">
        <f t="shared" si="4"/>
        <v>148</v>
      </c>
      <c r="W153" s="5">
        <v>4</v>
      </c>
      <c r="X153" s="5">
        <v>4</v>
      </c>
      <c r="Y153" s="5">
        <v>3</v>
      </c>
      <c r="Z153" s="5">
        <v>3</v>
      </c>
      <c r="AA153" s="5">
        <v>2</v>
      </c>
      <c r="AB153" s="5">
        <v>1</v>
      </c>
    </row>
    <row r="154" spans="22:28">
      <c r="V154">
        <f t="shared" si="4"/>
        <v>149</v>
      </c>
      <c r="W154" s="5">
        <v>4</v>
      </c>
      <c r="X154" s="5">
        <v>4</v>
      </c>
      <c r="Y154" s="5">
        <v>3</v>
      </c>
      <c r="Z154" s="5">
        <v>3</v>
      </c>
      <c r="AA154" s="5">
        <v>2</v>
      </c>
      <c r="AB154" s="5">
        <v>1</v>
      </c>
    </row>
    <row r="155" spans="22:28">
      <c r="V155">
        <f t="shared" si="4"/>
        <v>150</v>
      </c>
      <c r="W155" s="5">
        <v>4</v>
      </c>
      <c r="X155" s="5">
        <v>4</v>
      </c>
      <c r="Y155" s="5">
        <v>3</v>
      </c>
      <c r="Z155" s="5">
        <v>3</v>
      </c>
      <c r="AA155" s="5">
        <v>2</v>
      </c>
      <c r="AB155" s="5">
        <v>1</v>
      </c>
    </row>
    <row r="156" spans="22:28">
      <c r="V156">
        <f t="shared" si="4"/>
        <v>151</v>
      </c>
      <c r="W156" s="5">
        <v>5</v>
      </c>
      <c r="X156" s="5">
        <v>4</v>
      </c>
      <c r="Y156" s="5">
        <v>4</v>
      </c>
      <c r="Z156" s="5">
        <v>4</v>
      </c>
      <c r="AA156" s="5">
        <v>2</v>
      </c>
      <c r="AB156" s="5">
        <v>1</v>
      </c>
    </row>
    <row r="157" spans="22:28">
      <c r="V157">
        <f t="shared" si="4"/>
        <v>152</v>
      </c>
      <c r="W157" s="5">
        <v>5</v>
      </c>
      <c r="X157" s="5">
        <v>4</v>
      </c>
      <c r="Y157" s="5">
        <v>4</v>
      </c>
      <c r="Z157" s="5">
        <v>4</v>
      </c>
      <c r="AA157" s="5">
        <v>2</v>
      </c>
      <c r="AB157" s="5">
        <v>1</v>
      </c>
    </row>
    <row r="158" spans="22:28">
      <c r="V158">
        <f t="shared" si="4"/>
        <v>153</v>
      </c>
      <c r="W158" s="5">
        <v>5</v>
      </c>
      <c r="X158" s="5">
        <v>4</v>
      </c>
      <c r="Y158" s="5">
        <v>4</v>
      </c>
      <c r="Z158" s="5">
        <v>4</v>
      </c>
      <c r="AA158" s="5">
        <v>2</v>
      </c>
      <c r="AB158" s="5">
        <v>1</v>
      </c>
    </row>
    <row r="159" spans="22:28">
      <c r="V159">
        <f t="shared" si="4"/>
        <v>154</v>
      </c>
      <c r="W159" s="5">
        <v>5</v>
      </c>
      <c r="X159" s="5">
        <v>4</v>
      </c>
      <c r="Y159" s="5">
        <v>4</v>
      </c>
      <c r="Z159" s="5">
        <v>4</v>
      </c>
      <c r="AA159" s="5">
        <v>2</v>
      </c>
      <c r="AB159" s="5">
        <v>1</v>
      </c>
    </row>
    <row r="160" spans="22:28">
      <c r="V160">
        <f t="shared" si="4"/>
        <v>155</v>
      </c>
      <c r="W160" s="5">
        <v>5</v>
      </c>
      <c r="X160" s="5">
        <v>4</v>
      </c>
      <c r="Y160" s="5">
        <v>4</v>
      </c>
      <c r="Z160" s="5">
        <v>4</v>
      </c>
      <c r="AA160" s="5">
        <v>2</v>
      </c>
      <c r="AB160" s="5">
        <v>1</v>
      </c>
    </row>
    <row r="161" spans="22:28">
      <c r="V161">
        <f t="shared" si="4"/>
        <v>156</v>
      </c>
      <c r="W161" s="5">
        <v>5</v>
      </c>
      <c r="X161" s="5">
        <v>4</v>
      </c>
      <c r="Y161" s="5">
        <v>4</v>
      </c>
      <c r="Z161" s="5">
        <v>4</v>
      </c>
      <c r="AA161" s="5">
        <v>2</v>
      </c>
      <c r="AB161" s="5">
        <v>1</v>
      </c>
    </row>
    <row r="162" spans="22:28">
      <c r="V162">
        <f t="shared" si="4"/>
        <v>157</v>
      </c>
      <c r="W162" s="5">
        <v>5</v>
      </c>
      <c r="X162" s="5">
        <v>4</v>
      </c>
      <c r="Y162" s="5">
        <v>4</v>
      </c>
      <c r="Z162" s="5">
        <v>4</v>
      </c>
      <c r="AA162" s="5">
        <v>2</v>
      </c>
      <c r="AB162" s="5">
        <v>1</v>
      </c>
    </row>
    <row r="163" spans="22:28">
      <c r="V163">
        <f t="shared" si="4"/>
        <v>158</v>
      </c>
      <c r="W163" s="5">
        <v>5</v>
      </c>
      <c r="X163" s="5">
        <v>4</v>
      </c>
      <c r="Y163" s="5">
        <v>4</v>
      </c>
      <c r="Z163" s="5">
        <v>4</v>
      </c>
      <c r="AA163" s="5">
        <v>2</v>
      </c>
      <c r="AB163" s="5">
        <v>1</v>
      </c>
    </row>
    <row r="164" spans="22:28">
      <c r="V164">
        <f t="shared" si="4"/>
        <v>159</v>
      </c>
      <c r="W164" s="5">
        <v>5</v>
      </c>
      <c r="X164" s="5">
        <v>4</v>
      </c>
      <c r="Y164" s="5">
        <v>4</v>
      </c>
      <c r="Z164" s="5">
        <v>4</v>
      </c>
      <c r="AA164" s="5">
        <v>2</v>
      </c>
      <c r="AB164" s="5">
        <v>1</v>
      </c>
    </row>
    <row r="165" spans="22:28">
      <c r="V165">
        <f t="shared" si="4"/>
        <v>160</v>
      </c>
      <c r="W165" s="5">
        <v>5</v>
      </c>
      <c r="X165" s="5">
        <v>4</v>
      </c>
      <c r="Y165" s="5">
        <v>4</v>
      </c>
      <c r="Z165" s="5">
        <v>4</v>
      </c>
      <c r="AA165" s="5">
        <v>2</v>
      </c>
      <c r="AB165" s="5">
        <v>1</v>
      </c>
    </row>
    <row r="166" spans="22:28">
      <c r="V166">
        <f t="shared" si="4"/>
        <v>161</v>
      </c>
      <c r="W166" s="5">
        <v>5</v>
      </c>
      <c r="X166" s="5">
        <v>4</v>
      </c>
      <c r="Y166" s="5">
        <v>4</v>
      </c>
      <c r="Z166" s="5">
        <v>4</v>
      </c>
      <c r="AA166" s="5">
        <v>2</v>
      </c>
      <c r="AB166" s="5">
        <v>1</v>
      </c>
    </row>
    <row r="167" spans="22:28">
      <c r="V167">
        <f t="shared" si="4"/>
        <v>162</v>
      </c>
      <c r="W167" s="5">
        <v>5</v>
      </c>
      <c r="X167" s="5">
        <v>4</v>
      </c>
      <c r="Y167" s="5">
        <v>4</v>
      </c>
      <c r="Z167" s="5">
        <v>4</v>
      </c>
      <c r="AA167" s="5">
        <v>2</v>
      </c>
      <c r="AB167" s="5">
        <v>1</v>
      </c>
    </row>
    <row r="168" spans="22:28">
      <c r="V168">
        <f t="shared" si="4"/>
        <v>163</v>
      </c>
      <c r="W168" s="5">
        <v>5</v>
      </c>
      <c r="X168" s="5">
        <v>4</v>
      </c>
      <c r="Y168" s="5">
        <v>4</v>
      </c>
      <c r="Z168" s="5">
        <v>4</v>
      </c>
      <c r="AA168" s="5">
        <v>2</v>
      </c>
      <c r="AB168" s="5">
        <v>1</v>
      </c>
    </row>
    <row r="169" spans="22:28">
      <c r="V169">
        <f t="shared" si="4"/>
        <v>164</v>
      </c>
      <c r="W169" s="5">
        <v>5</v>
      </c>
      <c r="X169" s="5">
        <v>4</v>
      </c>
      <c r="Y169" s="5">
        <v>4</v>
      </c>
      <c r="Z169" s="5">
        <v>4</v>
      </c>
      <c r="AA169" s="5">
        <v>2</v>
      </c>
      <c r="AB169" s="5">
        <v>1</v>
      </c>
    </row>
    <row r="170" spans="22:28">
      <c r="V170">
        <f t="shared" si="4"/>
        <v>165</v>
      </c>
      <c r="W170" s="5">
        <v>5</v>
      </c>
      <c r="X170" s="5">
        <v>4</v>
      </c>
      <c r="Y170" s="5">
        <v>4</v>
      </c>
      <c r="Z170" s="5">
        <v>4</v>
      </c>
      <c r="AA170" s="5">
        <v>2</v>
      </c>
      <c r="AB170" s="5">
        <v>1</v>
      </c>
    </row>
    <row r="171" spans="22:28">
      <c r="V171">
        <f t="shared" si="4"/>
        <v>166</v>
      </c>
      <c r="W171" s="5">
        <v>5</v>
      </c>
      <c r="X171" s="5">
        <v>4</v>
      </c>
      <c r="Y171" s="5">
        <v>4</v>
      </c>
      <c r="Z171" s="5">
        <v>4</v>
      </c>
      <c r="AA171" s="5">
        <v>2</v>
      </c>
      <c r="AB171" s="5">
        <v>1</v>
      </c>
    </row>
    <row r="172" spans="22:28">
      <c r="V172">
        <f t="shared" si="4"/>
        <v>167</v>
      </c>
      <c r="W172" s="5">
        <v>5</v>
      </c>
      <c r="X172" s="5">
        <v>4</v>
      </c>
      <c r="Y172" s="5">
        <v>4</v>
      </c>
      <c r="Z172" s="5">
        <v>4</v>
      </c>
      <c r="AA172" s="5">
        <v>2</v>
      </c>
      <c r="AB172" s="5">
        <v>1</v>
      </c>
    </row>
    <row r="173" spans="22:28">
      <c r="V173">
        <f t="shared" si="4"/>
        <v>168</v>
      </c>
      <c r="W173" s="5">
        <v>5</v>
      </c>
      <c r="X173" s="5">
        <v>4</v>
      </c>
      <c r="Y173" s="5">
        <v>4</v>
      </c>
      <c r="Z173" s="5">
        <v>4</v>
      </c>
      <c r="AA173" s="5">
        <v>2</v>
      </c>
      <c r="AB173" s="5">
        <v>1</v>
      </c>
    </row>
    <row r="174" spans="22:28">
      <c r="V174">
        <f t="shared" si="4"/>
        <v>169</v>
      </c>
      <c r="W174" s="5">
        <v>5</v>
      </c>
      <c r="X174" s="5">
        <v>4</v>
      </c>
      <c r="Y174" s="5">
        <v>4</v>
      </c>
      <c r="Z174" s="5">
        <v>4</v>
      </c>
      <c r="AA174" s="5">
        <v>2</v>
      </c>
      <c r="AB174" s="5">
        <v>1</v>
      </c>
    </row>
    <row r="175" spans="22:28">
      <c r="V175">
        <f t="shared" si="4"/>
        <v>170</v>
      </c>
      <c r="W175" s="5">
        <v>5</v>
      </c>
      <c r="X175" s="5">
        <v>4</v>
      </c>
      <c r="Y175" s="5">
        <v>4</v>
      </c>
      <c r="Z175" s="5">
        <v>4</v>
      </c>
      <c r="AA175" s="5">
        <v>2</v>
      </c>
      <c r="AB175" s="5">
        <v>1</v>
      </c>
    </row>
    <row r="176" spans="22:28">
      <c r="V176">
        <f t="shared" si="4"/>
        <v>171</v>
      </c>
      <c r="W176" s="5">
        <v>5</v>
      </c>
      <c r="X176" s="5">
        <v>4</v>
      </c>
      <c r="Y176" s="5">
        <v>4</v>
      </c>
      <c r="Z176" s="5">
        <v>4</v>
      </c>
      <c r="AA176" s="5">
        <v>2</v>
      </c>
      <c r="AB176" s="5">
        <v>1</v>
      </c>
    </row>
    <row r="177" spans="22:28">
      <c r="V177">
        <f t="shared" si="4"/>
        <v>172</v>
      </c>
      <c r="W177" s="5">
        <v>5</v>
      </c>
      <c r="X177" s="5">
        <v>4</v>
      </c>
      <c r="Y177" s="5">
        <v>4</v>
      </c>
      <c r="Z177" s="5">
        <v>4</v>
      </c>
      <c r="AA177" s="5">
        <v>2</v>
      </c>
      <c r="AB177" s="5">
        <v>1</v>
      </c>
    </row>
    <row r="178" spans="22:28">
      <c r="V178">
        <f t="shared" si="4"/>
        <v>173</v>
      </c>
      <c r="W178" s="5">
        <v>5</v>
      </c>
      <c r="X178" s="5">
        <v>4</v>
      </c>
      <c r="Y178" s="5">
        <v>4</v>
      </c>
      <c r="Z178" s="5">
        <v>4</v>
      </c>
      <c r="AA178" s="5">
        <v>2</v>
      </c>
      <c r="AB178" s="5">
        <v>1</v>
      </c>
    </row>
    <row r="179" spans="22:28">
      <c r="V179">
        <f t="shared" si="4"/>
        <v>174</v>
      </c>
      <c r="W179" s="5">
        <v>5</v>
      </c>
      <c r="X179" s="5">
        <v>4</v>
      </c>
      <c r="Y179" s="5">
        <v>4</v>
      </c>
      <c r="Z179" s="5">
        <v>4</v>
      </c>
      <c r="AA179" s="5">
        <v>2</v>
      </c>
      <c r="AB179" s="5">
        <v>1</v>
      </c>
    </row>
    <row r="180" spans="22:28">
      <c r="V180">
        <f t="shared" si="4"/>
        <v>175</v>
      </c>
      <c r="W180" s="5">
        <v>5</v>
      </c>
      <c r="X180" s="5">
        <v>4</v>
      </c>
      <c r="Y180" s="5">
        <v>4</v>
      </c>
      <c r="Z180" s="5">
        <v>4</v>
      </c>
      <c r="AA180" s="5">
        <v>2</v>
      </c>
      <c r="AB180" s="5">
        <v>1</v>
      </c>
    </row>
    <row r="181" spans="22:28">
      <c r="V181">
        <f t="shared" si="4"/>
        <v>176</v>
      </c>
      <c r="W181" s="5">
        <v>5</v>
      </c>
      <c r="X181" s="5">
        <v>4</v>
      </c>
      <c r="Y181" s="5">
        <v>4</v>
      </c>
      <c r="Z181" s="5">
        <v>4</v>
      </c>
      <c r="AA181" s="5">
        <v>2</v>
      </c>
      <c r="AB181" s="5">
        <v>1</v>
      </c>
    </row>
    <row r="182" spans="22:28">
      <c r="V182">
        <f t="shared" si="4"/>
        <v>177</v>
      </c>
      <c r="W182" s="5">
        <v>5</v>
      </c>
      <c r="X182" s="5">
        <v>4</v>
      </c>
      <c r="Y182" s="5">
        <v>4</v>
      </c>
      <c r="Z182" s="5">
        <v>4</v>
      </c>
      <c r="AA182" s="5">
        <v>2</v>
      </c>
      <c r="AB182" s="5">
        <v>1</v>
      </c>
    </row>
    <row r="183" spans="22:28">
      <c r="V183">
        <f t="shared" si="4"/>
        <v>178</v>
      </c>
      <c r="W183" s="5">
        <v>5</v>
      </c>
      <c r="X183" s="5">
        <v>4</v>
      </c>
      <c r="Y183" s="5">
        <v>4</v>
      </c>
      <c r="Z183" s="5">
        <v>4</v>
      </c>
      <c r="AA183" s="5">
        <v>2</v>
      </c>
      <c r="AB183" s="5">
        <v>1</v>
      </c>
    </row>
    <row r="184" spans="22:28">
      <c r="V184">
        <f t="shared" si="4"/>
        <v>179</v>
      </c>
      <c r="W184" s="5">
        <v>5</v>
      </c>
      <c r="X184" s="5">
        <v>4</v>
      </c>
      <c r="Y184" s="5">
        <v>4</v>
      </c>
      <c r="Z184" s="5">
        <v>4</v>
      </c>
      <c r="AA184" s="5">
        <v>2</v>
      </c>
      <c r="AB184" s="5">
        <v>1</v>
      </c>
    </row>
    <row r="185" spans="22:28">
      <c r="V185">
        <f t="shared" si="4"/>
        <v>180</v>
      </c>
      <c r="W185" s="5">
        <v>5</v>
      </c>
      <c r="X185" s="5">
        <v>4</v>
      </c>
      <c r="Y185" s="5">
        <v>4</v>
      </c>
      <c r="Z185" s="5">
        <v>4</v>
      </c>
      <c r="AA185" s="5">
        <v>2</v>
      </c>
      <c r="AB185" s="5">
        <v>1</v>
      </c>
    </row>
    <row r="186" spans="22:28">
      <c r="V186">
        <f t="shared" si="4"/>
        <v>181</v>
      </c>
      <c r="W186" s="5">
        <v>5</v>
      </c>
      <c r="X186" s="5">
        <v>4</v>
      </c>
      <c r="Y186" s="5">
        <v>4</v>
      </c>
      <c r="Z186" s="5">
        <v>4</v>
      </c>
      <c r="AA186" s="5">
        <v>2</v>
      </c>
      <c r="AB186" s="5">
        <v>1</v>
      </c>
    </row>
    <row r="187" spans="22:28">
      <c r="V187">
        <f t="shared" si="4"/>
        <v>182</v>
      </c>
      <c r="W187" s="5">
        <v>5</v>
      </c>
      <c r="X187" s="5">
        <v>4</v>
      </c>
      <c r="Y187" s="5">
        <v>4</v>
      </c>
      <c r="Z187" s="5">
        <v>4</v>
      </c>
      <c r="AA187" s="5">
        <v>2</v>
      </c>
      <c r="AB187" s="5">
        <v>1</v>
      </c>
    </row>
    <row r="188" spans="22:28">
      <c r="V188">
        <f t="shared" si="4"/>
        <v>183</v>
      </c>
      <c r="W188" s="5">
        <v>5</v>
      </c>
      <c r="X188" s="5">
        <v>4</v>
      </c>
      <c r="Y188" s="5">
        <v>4</v>
      </c>
      <c r="Z188" s="5">
        <v>4</v>
      </c>
      <c r="AA188" s="5">
        <v>2</v>
      </c>
      <c r="AB188" s="5">
        <v>1</v>
      </c>
    </row>
    <row r="189" spans="22:28">
      <c r="V189">
        <f t="shared" si="4"/>
        <v>184</v>
      </c>
      <c r="W189" s="5">
        <v>5</v>
      </c>
      <c r="X189" s="5">
        <v>4</v>
      </c>
      <c r="Y189" s="5">
        <v>4</v>
      </c>
      <c r="Z189" s="5">
        <v>4</v>
      </c>
      <c r="AA189" s="5">
        <v>2</v>
      </c>
      <c r="AB189" s="5">
        <v>1</v>
      </c>
    </row>
    <row r="190" spans="22:28">
      <c r="V190">
        <f t="shared" si="4"/>
        <v>185</v>
      </c>
      <c r="W190" s="5">
        <v>5</v>
      </c>
      <c r="X190" s="5">
        <v>4</v>
      </c>
      <c r="Y190" s="5">
        <v>4</v>
      </c>
      <c r="Z190" s="5">
        <v>4</v>
      </c>
      <c r="AA190" s="5">
        <v>2</v>
      </c>
      <c r="AB190" s="5">
        <v>1</v>
      </c>
    </row>
    <row r="191" spans="22:28">
      <c r="V191">
        <f t="shared" si="4"/>
        <v>186</v>
      </c>
      <c r="W191" s="5">
        <v>5</v>
      </c>
      <c r="X191" s="5">
        <v>4</v>
      </c>
      <c r="Y191" s="5">
        <v>4</v>
      </c>
      <c r="Z191" s="5">
        <v>4</v>
      </c>
      <c r="AA191" s="5">
        <v>2</v>
      </c>
      <c r="AB191" s="5">
        <v>1</v>
      </c>
    </row>
    <row r="192" spans="22:28">
      <c r="V192">
        <f t="shared" si="4"/>
        <v>187</v>
      </c>
      <c r="W192" s="5">
        <v>5</v>
      </c>
      <c r="X192" s="5">
        <v>4</v>
      </c>
      <c r="Y192" s="5">
        <v>4</v>
      </c>
      <c r="Z192" s="5">
        <v>4</v>
      </c>
      <c r="AA192" s="5">
        <v>2</v>
      </c>
      <c r="AB192" s="5">
        <v>1</v>
      </c>
    </row>
    <row r="193" spans="22:28">
      <c r="V193">
        <f t="shared" si="4"/>
        <v>188</v>
      </c>
      <c r="W193" s="5">
        <v>5</v>
      </c>
      <c r="X193" s="5">
        <v>4</v>
      </c>
      <c r="Y193" s="5">
        <v>4</v>
      </c>
      <c r="Z193" s="5">
        <v>4</v>
      </c>
      <c r="AA193" s="5">
        <v>2</v>
      </c>
      <c r="AB193" s="5">
        <v>1</v>
      </c>
    </row>
    <row r="194" spans="22:28">
      <c r="V194">
        <f t="shared" si="4"/>
        <v>189</v>
      </c>
      <c r="W194" s="5">
        <v>5</v>
      </c>
      <c r="X194" s="5">
        <v>4</v>
      </c>
      <c r="Y194" s="5">
        <v>4</v>
      </c>
      <c r="Z194" s="5">
        <v>4</v>
      </c>
      <c r="AA194" s="5">
        <v>2</v>
      </c>
      <c r="AB194" s="5">
        <v>1</v>
      </c>
    </row>
    <row r="195" spans="22:28">
      <c r="V195">
        <f t="shared" si="4"/>
        <v>190</v>
      </c>
      <c r="W195" s="5">
        <v>5</v>
      </c>
      <c r="X195" s="5">
        <v>4</v>
      </c>
      <c r="Y195" s="5">
        <v>4</v>
      </c>
      <c r="Z195" s="5">
        <v>4</v>
      </c>
      <c r="AA195" s="5">
        <v>2</v>
      </c>
      <c r="AB195" s="5">
        <v>1</v>
      </c>
    </row>
    <row r="196" spans="22:28">
      <c r="V196">
        <f t="shared" si="4"/>
        <v>191</v>
      </c>
      <c r="W196" s="5">
        <v>5</v>
      </c>
      <c r="X196" s="5">
        <v>4</v>
      </c>
      <c r="Y196" s="5">
        <v>4</v>
      </c>
      <c r="Z196" s="5">
        <v>4</v>
      </c>
      <c r="AA196" s="5">
        <v>2</v>
      </c>
      <c r="AB196" s="5">
        <v>1</v>
      </c>
    </row>
    <row r="197" spans="22:28">
      <c r="V197">
        <f t="shared" si="4"/>
        <v>192</v>
      </c>
      <c r="W197" s="5">
        <v>5</v>
      </c>
      <c r="X197" s="5">
        <v>4</v>
      </c>
      <c r="Y197" s="5">
        <v>4</v>
      </c>
      <c r="Z197" s="5">
        <v>4</v>
      </c>
      <c r="AA197" s="5">
        <v>2</v>
      </c>
      <c r="AB197" s="5">
        <v>1</v>
      </c>
    </row>
    <row r="198" spans="22:28">
      <c r="V198">
        <f t="shared" si="4"/>
        <v>193</v>
      </c>
      <c r="W198" s="5">
        <v>5</v>
      </c>
      <c r="X198" s="5">
        <v>4</v>
      </c>
      <c r="Y198" s="5">
        <v>4</v>
      </c>
      <c r="Z198" s="5">
        <v>4</v>
      </c>
      <c r="AA198" s="5">
        <v>2</v>
      </c>
      <c r="AB198" s="5">
        <v>1</v>
      </c>
    </row>
    <row r="199" spans="22:28">
      <c r="V199">
        <f t="shared" si="4"/>
        <v>194</v>
      </c>
      <c r="W199" s="5">
        <v>5</v>
      </c>
      <c r="X199" s="5">
        <v>4</v>
      </c>
      <c r="Y199" s="5">
        <v>4</v>
      </c>
      <c r="Z199" s="5">
        <v>4</v>
      </c>
      <c r="AA199" s="5">
        <v>2</v>
      </c>
      <c r="AB199" s="5">
        <v>1</v>
      </c>
    </row>
    <row r="200" spans="22:28">
      <c r="V200">
        <f t="shared" ref="V200:V263" si="5">V199+1</f>
        <v>195</v>
      </c>
      <c r="W200" s="5">
        <v>5</v>
      </c>
      <c r="X200" s="5">
        <v>4</v>
      </c>
      <c r="Y200" s="5">
        <v>4</v>
      </c>
      <c r="Z200" s="5">
        <v>4</v>
      </c>
      <c r="AA200" s="5">
        <v>2</v>
      </c>
      <c r="AB200" s="5">
        <v>1</v>
      </c>
    </row>
    <row r="201" spans="22:28">
      <c r="V201">
        <f t="shared" si="5"/>
        <v>196</v>
      </c>
      <c r="W201" s="5">
        <v>5</v>
      </c>
      <c r="X201" s="5">
        <v>4</v>
      </c>
      <c r="Y201" s="5">
        <v>4</v>
      </c>
      <c r="Z201" s="5">
        <v>4</v>
      </c>
      <c r="AA201" s="5">
        <v>2</v>
      </c>
      <c r="AB201" s="5">
        <v>1</v>
      </c>
    </row>
    <row r="202" spans="22:28">
      <c r="V202">
        <f t="shared" si="5"/>
        <v>197</v>
      </c>
      <c r="W202" s="5">
        <v>5</v>
      </c>
      <c r="X202" s="5">
        <v>4</v>
      </c>
      <c r="Y202" s="5">
        <v>4</v>
      </c>
      <c r="Z202" s="5">
        <v>4</v>
      </c>
      <c r="AA202" s="5">
        <v>2</v>
      </c>
      <c r="AB202" s="5">
        <v>1</v>
      </c>
    </row>
    <row r="203" spans="22:28">
      <c r="V203">
        <f t="shared" si="5"/>
        <v>198</v>
      </c>
      <c r="W203" s="5">
        <v>5</v>
      </c>
      <c r="X203" s="5">
        <v>4</v>
      </c>
      <c r="Y203" s="5">
        <v>4</v>
      </c>
      <c r="Z203" s="5">
        <v>4</v>
      </c>
      <c r="AA203" s="5">
        <v>2</v>
      </c>
      <c r="AB203" s="5">
        <v>1</v>
      </c>
    </row>
    <row r="204" spans="22:28">
      <c r="V204">
        <f t="shared" si="5"/>
        <v>199</v>
      </c>
      <c r="W204" s="5">
        <v>5</v>
      </c>
      <c r="X204" s="5">
        <v>4</v>
      </c>
      <c r="Y204" s="5">
        <v>4</v>
      </c>
      <c r="Z204" s="5">
        <v>4</v>
      </c>
      <c r="AA204" s="5">
        <v>2</v>
      </c>
      <c r="AB204" s="5">
        <v>1</v>
      </c>
    </row>
    <row r="205" spans="22:28">
      <c r="V205">
        <f t="shared" si="5"/>
        <v>200</v>
      </c>
      <c r="W205" s="5">
        <v>5</v>
      </c>
      <c r="X205" s="5">
        <v>4</v>
      </c>
      <c r="Y205" s="5">
        <v>4</v>
      </c>
      <c r="Z205" s="5">
        <v>4</v>
      </c>
      <c r="AA205" s="5">
        <v>2</v>
      </c>
      <c r="AB205" s="5">
        <v>1</v>
      </c>
    </row>
    <row r="206" spans="22:28">
      <c r="V206">
        <f t="shared" si="5"/>
        <v>201</v>
      </c>
      <c r="W206" s="5">
        <v>6</v>
      </c>
      <c r="X206" s="5">
        <v>4</v>
      </c>
      <c r="Y206" s="5">
        <v>5</v>
      </c>
      <c r="Z206" s="5">
        <v>5</v>
      </c>
      <c r="AA206" s="5">
        <v>3</v>
      </c>
      <c r="AB206" s="5">
        <v>1</v>
      </c>
    </row>
    <row r="207" spans="22:28">
      <c r="V207">
        <f t="shared" si="5"/>
        <v>202</v>
      </c>
      <c r="W207" s="5">
        <v>6</v>
      </c>
      <c r="X207" s="5">
        <v>4</v>
      </c>
      <c r="Y207" s="5">
        <v>5</v>
      </c>
      <c r="Z207" s="5">
        <v>5</v>
      </c>
      <c r="AA207" s="5">
        <v>3</v>
      </c>
      <c r="AB207" s="5">
        <v>1</v>
      </c>
    </row>
    <row r="208" spans="22:28">
      <c r="V208">
        <f t="shared" si="5"/>
        <v>203</v>
      </c>
      <c r="W208" s="5">
        <v>6</v>
      </c>
      <c r="X208" s="5">
        <v>4</v>
      </c>
      <c r="Y208" s="5">
        <v>5</v>
      </c>
      <c r="Z208" s="5">
        <v>5</v>
      </c>
      <c r="AA208" s="5">
        <v>3</v>
      </c>
      <c r="AB208" s="5">
        <v>1</v>
      </c>
    </row>
    <row r="209" spans="22:28">
      <c r="V209">
        <f t="shared" si="5"/>
        <v>204</v>
      </c>
      <c r="W209" s="5">
        <v>6</v>
      </c>
      <c r="X209" s="5">
        <v>4</v>
      </c>
      <c r="Y209" s="5">
        <v>5</v>
      </c>
      <c r="Z209" s="5">
        <v>5</v>
      </c>
      <c r="AA209" s="5">
        <v>3</v>
      </c>
      <c r="AB209" s="5">
        <v>1</v>
      </c>
    </row>
    <row r="210" spans="22:28">
      <c r="V210">
        <f t="shared" si="5"/>
        <v>205</v>
      </c>
      <c r="W210" s="5">
        <v>6</v>
      </c>
      <c r="X210" s="5">
        <v>4</v>
      </c>
      <c r="Y210" s="5">
        <v>5</v>
      </c>
      <c r="Z210" s="5">
        <v>5</v>
      </c>
      <c r="AA210" s="5">
        <v>3</v>
      </c>
      <c r="AB210" s="5">
        <v>1</v>
      </c>
    </row>
    <row r="211" spans="22:28">
      <c r="V211">
        <f t="shared" si="5"/>
        <v>206</v>
      </c>
      <c r="W211" s="5">
        <v>6</v>
      </c>
      <c r="X211" s="5">
        <v>4</v>
      </c>
      <c r="Y211" s="5">
        <v>5</v>
      </c>
      <c r="Z211" s="5">
        <v>5</v>
      </c>
      <c r="AA211" s="5">
        <v>3</v>
      </c>
      <c r="AB211" s="5">
        <v>1</v>
      </c>
    </row>
    <row r="212" spans="22:28">
      <c r="V212">
        <f t="shared" si="5"/>
        <v>207</v>
      </c>
      <c r="W212" s="5">
        <v>6</v>
      </c>
      <c r="X212" s="5">
        <v>4</v>
      </c>
      <c r="Y212" s="5">
        <v>5</v>
      </c>
      <c r="Z212" s="5">
        <v>5</v>
      </c>
      <c r="AA212" s="5">
        <v>3</v>
      </c>
      <c r="AB212" s="5">
        <v>1</v>
      </c>
    </row>
    <row r="213" spans="22:28">
      <c r="V213">
        <f t="shared" si="5"/>
        <v>208</v>
      </c>
      <c r="W213" s="5">
        <v>6</v>
      </c>
      <c r="X213" s="5">
        <v>4</v>
      </c>
      <c r="Y213" s="5">
        <v>5</v>
      </c>
      <c r="Z213" s="5">
        <v>5</v>
      </c>
      <c r="AA213" s="5">
        <v>3</v>
      </c>
      <c r="AB213" s="5">
        <v>1</v>
      </c>
    </row>
    <row r="214" spans="22:28">
      <c r="V214">
        <f t="shared" si="5"/>
        <v>209</v>
      </c>
      <c r="W214" s="5">
        <v>6</v>
      </c>
      <c r="X214" s="5">
        <v>4</v>
      </c>
      <c r="Y214" s="5">
        <v>5</v>
      </c>
      <c r="Z214" s="5">
        <v>5</v>
      </c>
      <c r="AA214" s="5">
        <v>3</v>
      </c>
      <c r="AB214" s="5">
        <v>1</v>
      </c>
    </row>
    <row r="215" spans="22:28">
      <c r="V215">
        <f t="shared" si="5"/>
        <v>210</v>
      </c>
      <c r="W215" s="5">
        <v>6</v>
      </c>
      <c r="X215" s="5">
        <v>4</v>
      </c>
      <c r="Y215" s="5">
        <v>5</v>
      </c>
      <c r="Z215" s="5">
        <v>5</v>
      </c>
      <c r="AA215" s="5">
        <v>3</v>
      </c>
      <c r="AB215" s="5">
        <v>1</v>
      </c>
    </row>
    <row r="216" spans="22:28">
      <c r="V216">
        <f t="shared" si="5"/>
        <v>211</v>
      </c>
      <c r="W216" s="5">
        <v>6</v>
      </c>
      <c r="X216" s="5">
        <v>5</v>
      </c>
      <c r="Y216" s="5">
        <v>5</v>
      </c>
      <c r="Z216" s="5">
        <v>5</v>
      </c>
      <c r="AA216" s="5">
        <v>3</v>
      </c>
      <c r="AB216" s="5">
        <v>1</v>
      </c>
    </row>
    <row r="217" spans="22:28">
      <c r="V217">
        <f t="shared" si="5"/>
        <v>212</v>
      </c>
      <c r="W217" s="5">
        <v>6</v>
      </c>
      <c r="X217" s="5">
        <v>5</v>
      </c>
      <c r="Y217" s="5">
        <v>5</v>
      </c>
      <c r="Z217" s="5">
        <v>5</v>
      </c>
      <c r="AA217" s="5">
        <v>3</v>
      </c>
      <c r="AB217" s="5">
        <v>1</v>
      </c>
    </row>
    <row r="218" spans="22:28">
      <c r="V218">
        <f t="shared" si="5"/>
        <v>213</v>
      </c>
      <c r="W218" s="5">
        <v>6</v>
      </c>
      <c r="X218" s="5">
        <v>5</v>
      </c>
      <c r="Y218" s="5">
        <v>5</v>
      </c>
      <c r="Z218" s="5">
        <v>5</v>
      </c>
      <c r="AA218" s="5">
        <v>3</v>
      </c>
      <c r="AB218" s="5">
        <v>1</v>
      </c>
    </row>
    <row r="219" spans="22:28">
      <c r="V219">
        <f t="shared" si="5"/>
        <v>214</v>
      </c>
      <c r="W219" s="5">
        <v>6</v>
      </c>
      <c r="X219" s="5">
        <v>5</v>
      </c>
      <c r="Y219" s="5">
        <v>5</v>
      </c>
      <c r="Z219" s="5">
        <v>5</v>
      </c>
      <c r="AA219" s="5">
        <v>3</v>
      </c>
      <c r="AB219" s="5">
        <v>1</v>
      </c>
    </row>
    <row r="220" spans="22:28">
      <c r="V220">
        <f t="shared" si="5"/>
        <v>215</v>
      </c>
      <c r="W220" s="5">
        <v>6</v>
      </c>
      <c r="X220" s="5">
        <v>5</v>
      </c>
      <c r="Y220" s="5">
        <v>5</v>
      </c>
      <c r="Z220" s="5">
        <v>5</v>
      </c>
      <c r="AA220" s="5">
        <v>3</v>
      </c>
      <c r="AB220" s="5">
        <v>1</v>
      </c>
    </row>
    <row r="221" spans="22:28">
      <c r="V221">
        <f t="shared" si="5"/>
        <v>216</v>
      </c>
      <c r="W221" s="5">
        <v>6</v>
      </c>
      <c r="X221" s="5">
        <v>5</v>
      </c>
      <c r="Y221" s="5">
        <v>5</v>
      </c>
      <c r="Z221" s="5">
        <v>5</v>
      </c>
      <c r="AA221" s="5">
        <v>3</v>
      </c>
      <c r="AB221" s="5">
        <v>1</v>
      </c>
    </row>
    <row r="222" spans="22:28">
      <c r="V222">
        <f t="shared" si="5"/>
        <v>217</v>
      </c>
      <c r="W222" s="5">
        <v>6</v>
      </c>
      <c r="X222" s="5">
        <v>5</v>
      </c>
      <c r="Y222" s="5">
        <v>5</v>
      </c>
      <c r="Z222" s="5">
        <v>5</v>
      </c>
      <c r="AA222" s="5">
        <v>3</v>
      </c>
      <c r="AB222" s="5">
        <v>1</v>
      </c>
    </row>
    <row r="223" spans="22:28">
      <c r="V223">
        <f t="shared" si="5"/>
        <v>218</v>
      </c>
      <c r="W223" s="5">
        <v>6</v>
      </c>
      <c r="X223" s="5">
        <v>5</v>
      </c>
      <c r="Y223" s="5">
        <v>5</v>
      </c>
      <c r="Z223" s="5">
        <v>5</v>
      </c>
      <c r="AA223" s="5">
        <v>3</v>
      </c>
      <c r="AB223" s="5">
        <v>1</v>
      </c>
    </row>
    <row r="224" spans="22:28">
      <c r="V224">
        <f t="shared" si="5"/>
        <v>219</v>
      </c>
      <c r="W224" s="5">
        <v>6</v>
      </c>
      <c r="X224" s="5">
        <v>5</v>
      </c>
      <c r="Y224" s="5">
        <v>5</v>
      </c>
      <c r="Z224" s="5">
        <v>5</v>
      </c>
      <c r="AA224" s="5">
        <v>3</v>
      </c>
      <c r="AB224" s="5">
        <v>1</v>
      </c>
    </row>
    <row r="225" spans="22:28">
      <c r="V225">
        <f t="shared" si="5"/>
        <v>220</v>
      </c>
      <c r="W225" s="5">
        <v>6</v>
      </c>
      <c r="X225" s="5">
        <v>5</v>
      </c>
      <c r="Y225" s="5">
        <v>5</v>
      </c>
      <c r="Z225" s="5">
        <v>5</v>
      </c>
      <c r="AA225" s="5">
        <v>3</v>
      </c>
      <c r="AB225" s="5">
        <v>1</v>
      </c>
    </row>
    <row r="226" spans="22:28">
      <c r="V226">
        <f t="shared" si="5"/>
        <v>221</v>
      </c>
      <c r="W226" s="5">
        <v>6</v>
      </c>
      <c r="X226" s="5">
        <v>5</v>
      </c>
      <c r="Y226" s="5">
        <v>5</v>
      </c>
      <c r="Z226" s="5">
        <v>5</v>
      </c>
      <c r="AA226" s="5">
        <v>3</v>
      </c>
      <c r="AB226" s="5">
        <v>1</v>
      </c>
    </row>
    <row r="227" spans="22:28">
      <c r="V227">
        <f t="shared" si="5"/>
        <v>222</v>
      </c>
      <c r="W227" s="5">
        <v>6</v>
      </c>
      <c r="X227" s="5">
        <v>5</v>
      </c>
      <c r="Y227" s="5">
        <v>5</v>
      </c>
      <c r="Z227" s="5">
        <v>5</v>
      </c>
      <c r="AA227" s="5">
        <v>3</v>
      </c>
      <c r="AB227" s="5">
        <v>1</v>
      </c>
    </row>
    <row r="228" spans="22:28">
      <c r="V228">
        <f t="shared" si="5"/>
        <v>223</v>
      </c>
      <c r="W228" s="5">
        <v>6</v>
      </c>
      <c r="X228" s="5">
        <v>5</v>
      </c>
      <c r="Y228" s="5">
        <v>5</v>
      </c>
      <c r="Z228" s="5">
        <v>5</v>
      </c>
      <c r="AA228" s="5">
        <v>3</v>
      </c>
      <c r="AB228" s="5">
        <v>1</v>
      </c>
    </row>
    <row r="229" spans="22:28">
      <c r="V229">
        <f t="shared" si="5"/>
        <v>224</v>
      </c>
      <c r="W229" s="5">
        <v>6</v>
      </c>
      <c r="X229" s="5">
        <v>5</v>
      </c>
      <c r="Y229" s="5">
        <v>5</v>
      </c>
      <c r="Z229" s="5">
        <v>5</v>
      </c>
      <c r="AA229" s="5">
        <v>3</v>
      </c>
      <c r="AB229" s="5">
        <v>1</v>
      </c>
    </row>
    <row r="230" spans="22:28">
      <c r="V230">
        <f t="shared" si="5"/>
        <v>225</v>
      </c>
      <c r="W230" s="5">
        <v>6</v>
      </c>
      <c r="X230" s="5">
        <v>5</v>
      </c>
      <c r="Y230" s="5">
        <v>5</v>
      </c>
      <c r="Z230" s="5">
        <v>5</v>
      </c>
      <c r="AA230" s="5">
        <v>3</v>
      </c>
      <c r="AB230" s="5">
        <v>1</v>
      </c>
    </row>
    <row r="231" spans="22:28">
      <c r="V231">
        <f t="shared" si="5"/>
        <v>226</v>
      </c>
      <c r="W231" s="5">
        <v>6</v>
      </c>
      <c r="X231" s="5">
        <v>5</v>
      </c>
      <c r="Y231" s="5">
        <v>5</v>
      </c>
      <c r="Z231" s="5">
        <v>5</v>
      </c>
      <c r="AA231" s="5">
        <v>3</v>
      </c>
      <c r="AB231" s="5">
        <v>1</v>
      </c>
    </row>
    <row r="232" spans="22:28">
      <c r="V232">
        <f t="shared" si="5"/>
        <v>227</v>
      </c>
      <c r="W232" s="5">
        <v>6</v>
      </c>
      <c r="X232" s="5">
        <v>5</v>
      </c>
      <c r="Y232" s="5">
        <v>5</v>
      </c>
      <c r="Z232" s="5">
        <v>5</v>
      </c>
      <c r="AA232" s="5">
        <v>3</v>
      </c>
      <c r="AB232" s="5">
        <v>1</v>
      </c>
    </row>
    <row r="233" spans="22:28">
      <c r="V233">
        <f t="shared" si="5"/>
        <v>228</v>
      </c>
      <c r="W233" s="5">
        <v>6</v>
      </c>
      <c r="X233" s="5">
        <v>5</v>
      </c>
      <c r="Y233" s="5">
        <v>5</v>
      </c>
      <c r="Z233" s="5">
        <v>5</v>
      </c>
      <c r="AA233" s="5">
        <v>3</v>
      </c>
      <c r="AB233" s="5">
        <v>1</v>
      </c>
    </row>
    <row r="234" spans="22:28">
      <c r="V234">
        <f t="shared" si="5"/>
        <v>229</v>
      </c>
      <c r="W234" s="5">
        <v>6</v>
      </c>
      <c r="X234" s="5">
        <v>5</v>
      </c>
      <c r="Y234" s="5">
        <v>5</v>
      </c>
      <c r="Z234" s="5">
        <v>5</v>
      </c>
      <c r="AA234" s="5">
        <v>3</v>
      </c>
      <c r="AB234" s="5">
        <v>1</v>
      </c>
    </row>
    <row r="235" spans="22:28">
      <c r="V235">
        <f t="shared" si="5"/>
        <v>230</v>
      </c>
      <c r="W235" s="5">
        <v>6</v>
      </c>
      <c r="X235" s="5">
        <v>5</v>
      </c>
      <c r="Y235" s="5">
        <v>5</v>
      </c>
      <c r="Z235" s="5">
        <v>5</v>
      </c>
      <c r="AA235" s="5">
        <v>3</v>
      </c>
      <c r="AB235" s="5">
        <v>1</v>
      </c>
    </row>
    <row r="236" spans="22:28">
      <c r="V236">
        <f t="shared" si="5"/>
        <v>231</v>
      </c>
      <c r="W236" s="5">
        <v>6</v>
      </c>
      <c r="X236" s="5">
        <v>5</v>
      </c>
      <c r="Y236" s="5">
        <v>5</v>
      </c>
      <c r="Z236" s="5">
        <v>5</v>
      </c>
      <c r="AA236" s="5">
        <v>3</v>
      </c>
      <c r="AB236" s="5">
        <v>1</v>
      </c>
    </row>
    <row r="237" spans="22:28">
      <c r="V237">
        <f t="shared" si="5"/>
        <v>232</v>
      </c>
      <c r="W237" s="5">
        <v>6</v>
      </c>
      <c r="X237" s="5">
        <v>5</v>
      </c>
      <c r="Y237" s="5">
        <v>5</v>
      </c>
      <c r="Z237" s="5">
        <v>5</v>
      </c>
      <c r="AA237" s="5">
        <v>3</v>
      </c>
      <c r="AB237" s="5">
        <v>1</v>
      </c>
    </row>
    <row r="238" spans="22:28">
      <c r="V238">
        <f t="shared" si="5"/>
        <v>233</v>
      </c>
      <c r="W238" s="5">
        <v>6</v>
      </c>
      <c r="X238" s="5">
        <v>5</v>
      </c>
      <c r="Y238" s="5">
        <v>5</v>
      </c>
      <c r="Z238" s="5">
        <v>5</v>
      </c>
      <c r="AA238" s="5">
        <v>3</v>
      </c>
      <c r="AB238" s="5">
        <v>1</v>
      </c>
    </row>
    <row r="239" spans="22:28">
      <c r="V239">
        <f t="shared" si="5"/>
        <v>234</v>
      </c>
      <c r="W239" s="5">
        <v>6</v>
      </c>
      <c r="X239" s="5">
        <v>5</v>
      </c>
      <c r="Y239" s="5">
        <v>5</v>
      </c>
      <c r="Z239" s="5">
        <v>5</v>
      </c>
      <c r="AA239" s="5">
        <v>3</v>
      </c>
      <c r="AB239" s="5">
        <v>1</v>
      </c>
    </row>
    <row r="240" spans="22:28">
      <c r="V240">
        <f t="shared" si="5"/>
        <v>235</v>
      </c>
      <c r="W240" s="5">
        <v>6</v>
      </c>
      <c r="X240" s="5">
        <v>5</v>
      </c>
      <c r="Y240" s="5">
        <v>5</v>
      </c>
      <c r="Z240" s="5">
        <v>5</v>
      </c>
      <c r="AA240" s="5">
        <v>3</v>
      </c>
      <c r="AB240" s="5">
        <v>1</v>
      </c>
    </row>
    <row r="241" spans="22:28">
      <c r="V241">
        <f t="shared" si="5"/>
        <v>236</v>
      </c>
      <c r="W241" s="5">
        <v>6</v>
      </c>
      <c r="X241" s="5">
        <v>5</v>
      </c>
      <c r="Y241" s="5">
        <v>5</v>
      </c>
      <c r="Z241" s="5">
        <v>5</v>
      </c>
      <c r="AA241" s="5">
        <v>3</v>
      </c>
      <c r="AB241" s="5">
        <v>1</v>
      </c>
    </row>
    <row r="242" spans="22:28">
      <c r="V242">
        <f t="shared" si="5"/>
        <v>237</v>
      </c>
      <c r="W242" s="5">
        <v>6</v>
      </c>
      <c r="X242" s="5">
        <v>5</v>
      </c>
      <c r="Y242" s="5">
        <v>5</v>
      </c>
      <c r="Z242" s="5">
        <v>5</v>
      </c>
      <c r="AA242" s="5">
        <v>3</v>
      </c>
      <c r="AB242" s="5">
        <v>1</v>
      </c>
    </row>
    <row r="243" spans="22:28">
      <c r="V243">
        <f t="shared" si="5"/>
        <v>238</v>
      </c>
      <c r="W243" s="5">
        <v>6</v>
      </c>
      <c r="X243" s="5">
        <v>5</v>
      </c>
      <c r="Y243" s="5">
        <v>5</v>
      </c>
      <c r="Z243" s="5">
        <v>5</v>
      </c>
      <c r="AA243" s="5">
        <v>3</v>
      </c>
      <c r="AB243" s="5">
        <v>1</v>
      </c>
    </row>
    <row r="244" spans="22:28">
      <c r="V244">
        <f t="shared" si="5"/>
        <v>239</v>
      </c>
      <c r="W244" s="5">
        <v>6</v>
      </c>
      <c r="X244" s="5">
        <v>5</v>
      </c>
      <c r="Y244" s="5">
        <v>5</v>
      </c>
      <c r="Z244" s="5">
        <v>5</v>
      </c>
      <c r="AA244" s="5">
        <v>3</v>
      </c>
      <c r="AB244" s="5">
        <v>1</v>
      </c>
    </row>
    <row r="245" spans="22:28">
      <c r="V245">
        <f t="shared" si="5"/>
        <v>240</v>
      </c>
      <c r="W245" s="5">
        <v>6</v>
      </c>
      <c r="X245" s="5">
        <v>5</v>
      </c>
      <c r="Y245" s="5">
        <v>5</v>
      </c>
      <c r="Z245" s="5">
        <v>5</v>
      </c>
      <c r="AA245" s="5">
        <v>3</v>
      </c>
      <c r="AB245" s="5">
        <v>1</v>
      </c>
    </row>
    <row r="246" spans="22:28">
      <c r="V246">
        <f t="shared" si="5"/>
        <v>241</v>
      </c>
      <c r="W246" s="5">
        <v>6</v>
      </c>
      <c r="X246" s="5">
        <v>5</v>
      </c>
      <c r="Y246" s="5">
        <v>5</v>
      </c>
      <c r="Z246" s="5">
        <v>5</v>
      </c>
      <c r="AA246" s="5">
        <v>3</v>
      </c>
      <c r="AB246" s="5">
        <v>1</v>
      </c>
    </row>
    <row r="247" spans="22:28">
      <c r="V247">
        <f t="shared" si="5"/>
        <v>242</v>
      </c>
      <c r="W247" s="5">
        <v>6</v>
      </c>
      <c r="X247" s="5">
        <v>5</v>
      </c>
      <c r="Y247" s="5">
        <v>5</v>
      </c>
      <c r="Z247" s="5">
        <v>5</v>
      </c>
      <c r="AA247" s="5">
        <v>3</v>
      </c>
      <c r="AB247" s="5">
        <v>1</v>
      </c>
    </row>
    <row r="248" spans="22:28">
      <c r="V248">
        <f t="shared" si="5"/>
        <v>243</v>
      </c>
      <c r="W248" s="5">
        <v>6</v>
      </c>
      <c r="X248" s="5">
        <v>5</v>
      </c>
      <c r="Y248" s="5">
        <v>5</v>
      </c>
      <c r="Z248" s="5">
        <v>5</v>
      </c>
      <c r="AA248" s="5">
        <v>3</v>
      </c>
      <c r="AB248" s="5">
        <v>1</v>
      </c>
    </row>
    <row r="249" spans="22:28">
      <c r="V249">
        <f t="shared" si="5"/>
        <v>244</v>
      </c>
      <c r="W249" s="5">
        <v>6</v>
      </c>
      <c r="X249" s="5">
        <v>5</v>
      </c>
      <c r="Y249" s="5">
        <v>5</v>
      </c>
      <c r="Z249" s="5">
        <v>5</v>
      </c>
      <c r="AA249" s="5">
        <v>3</v>
      </c>
      <c r="AB249" s="5">
        <v>1</v>
      </c>
    </row>
    <row r="250" spans="22:28">
      <c r="V250">
        <f t="shared" si="5"/>
        <v>245</v>
      </c>
      <c r="W250" s="5">
        <v>6</v>
      </c>
      <c r="X250" s="5">
        <v>5</v>
      </c>
      <c r="Y250" s="5">
        <v>5</v>
      </c>
      <c r="Z250" s="5">
        <v>5</v>
      </c>
      <c r="AA250" s="5">
        <v>3</v>
      </c>
      <c r="AB250" s="5">
        <v>1</v>
      </c>
    </row>
    <row r="251" spans="22:28">
      <c r="V251">
        <f t="shared" si="5"/>
        <v>246</v>
      </c>
      <c r="W251" s="5">
        <v>6</v>
      </c>
      <c r="X251" s="5">
        <v>5</v>
      </c>
      <c r="Y251" s="5">
        <v>5</v>
      </c>
      <c r="Z251" s="5">
        <v>5</v>
      </c>
      <c r="AA251" s="5">
        <v>3</v>
      </c>
      <c r="AB251" s="5">
        <v>1</v>
      </c>
    </row>
    <row r="252" spans="22:28">
      <c r="V252">
        <f t="shared" si="5"/>
        <v>247</v>
      </c>
      <c r="W252" s="5">
        <v>6</v>
      </c>
      <c r="X252" s="5">
        <v>5</v>
      </c>
      <c r="Y252" s="5">
        <v>5</v>
      </c>
      <c r="Z252" s="5">
        <v>5</v>
      </c>
      <c r="AA252" s="5">
        <v>3</v>
      </c>
      <c r="AB252" s="5">
        <v>1</v>
      </c>
    </row>
    <row r="253" spans="22:28">
      <c r="V253">
        <f t="shared" si="5"/>
        <v>248</v>
      </c>
      <c r="W253" s="5">
        <v>6</v>
      </c>
      <c r="X253" s="5">
        <v>5</v>
      </c>
      <c r="Y253" s="5">
        <v>5</v>
      </c>
      <c r="Z253" s="5">
        <v>5</v>
      </c>
      <c r="AA253" s="5">
        <v>3</v>
      </c>
      <c r="AB253" s="5">
        <v>1</v>
      </c>
    </row>
    <row r="254" spans="22:28">
      <c r="V254">
        <f t="shared" si="5"/>
        <v>249</v>
      </c>
      <c r="W254" s="5">
        <v>6</v>
      </c>
      <c r="X254" s="5">
        <v>5</v>
      </c>
      <c r="Y254" s="5">
        <v>5</v>
      </c>
      <c r="Z254" s="5">
        <v>5</v>
      </c>
      <c r="AA254" s="5">
        <v>3</v>
      </c>
      <c r="AB254" s="5">
        <v>1</v>
      </c>
    </row>
    <row r="255" spans="22:28">
      <c r="V255">
        <f t="shared" si="5"/>
        <v>250</v>
      </c>
      <c r="W255" s="5">
        <v>6</v>
      </c>
      <c r="X255" s="5">
        <v>5</v>
      </c>
      <c r="Y255" s="5">
        <v>5</v>
      </c>
      <c r="Z255" s="5">
        <v>5</v>
      </c>
      <c r="AA255" s="5">
        <v>3</v>
      </c>
      <c r="AB255" s="5">
        <v>1</v>
      </c>
    </row>
    <row r="256" spans="22:28">
      <c r="V256">
        <f t="shared" si="5"/>
        <v>251</v>
      </c>
      <c r="W256" s="5">
        <v>7</v>
      </c>
      <c r="X256" s="5">
        <v>5</v>
      </c>
      <c r="Y256" s="5">
        <v>6</v>
      </c>
      <c r="Z256" s="5">
        <v>6</v>
      </c>
      <c r="AA256" s="5">
        <v>3</v>
      </c>
      <c r="AB256" s="5">
        <v>1</v>
      </c>
    </row>
    <row r="257" spans="22:28">
      <c r="V257">
        <f t="shared" si="5"/>
        <v>252</v>
      </c>
      <c r="W257" s="5">
        <v>7</v>
      </c>
      <c r="X257" s="5">
        <v>5</v>
      </c>
      <c r="Y257" s="5">
        <v>6</v>
      </c>
      <c r="Z257" s="5">
        <v>6</v>
      </c>
      <c r="AA257" s="5">
        <v>3</v>
      </c>
      <c r="AB257" s="5">
        <v>1</v>
      </c>
    </row>
    <row r="258" spans="22:28">
      <c r="V258">
        <f t="shared" si="5"/>
        <v>253</v>
      </c>
      <c r="W258" s="5">
        <v>7</v>
      </c>
      <c r="X258" s="5">
        <v>5</v>
      </c>
      <c r="Y258" s="5">
        <v>6</v>
      </c>
      <c r="Z258" s="5">
        <v>6</v>
      </c>
      <c r="AA258" s="5">
        <v>3</v>
      </c>
      <c r="AB258" s="5">
        <v>1</v>
      </c>
    </row>
    <row r="259" spans="22:28">
      <c r="V259">
        <f t="shared" si="5"/>
        <v>254</v>
      </c>
      <c r="W259" s="5">
        <v>7</v>
      </c>
      <c r="X259" s="5">
        <v>5</v>
      </c>
      <c r="Y259" s="5">
        <v>6</v>
      </c>
      <c r="Z259" s="5">
        <v>6</v>
      </c>
      <c r="AA259" s="5">
        <v>3</v>
      </c>
      <c r="AB259" s="5">
        <v>1</v>
      </c>
    </row>
    <row r="260" spans="22:28">
      <c r="V260">
        <f t="shared" si="5"/>
        <v>255</v>
      </c>
      <c r="W260" s="5">
        <v>7</v>
      </c>
      <c r="X260" s="5">
        <v>5</v>
      </c>
      <c r="Y260" s="5">
        <v>6</v>
      </c>
      <c r="Z260" s="5">
        <v>6</v>
      </c>
      <c r="AA260" s="5">
        <v>3</v>
      </c>
      <c r="AB260" s="5">
        <v>1</v>
      </c>
    </row>
    <row r="261" spans="22:28">
      <c r="V261">
        <f t="shared" si="5"/>
        <v>256</v>
      </c>
      <c r="W261" s="5">
        <v>7</v>
      </c>
      <c r="X261" s="5">
        <v>5</v>
      </c>
      <c r="Y261" s="5">
        <v>6</v>
      </c>
      <c r="Z261" s="5">
        <v>6</v>
      </c>
      <c r="AA261" s="5">
        <v>3</v>
      </c>
      <c r="AB261" s="5">
        <v>1</v>
      </c>
    </row>
    <row r="262" spans="22:28">
      <c r="V262">
        <f t="shared" si="5"/>
        <v>257</v>
      </c>
      <c r="W262" s="5">
        <v>7</v>
      </c>
      <c r="X262" s="5">
        <v>5</v>
      </c>
      <c r="Y262" s="5">
        <v>6</v>
      </c>
      <c r="Z262" s="5">
        <v>6</v>
      </c>
      <c r="AA262" s="5">
        <v>3</v>
      </c>
      <c r="AB262" s="5">
        <v>1</v>
      </c>
    </row>
    <row r="263" spans="22:28">
      <c r="V263">
        <f t="shared" si="5"/>
        <v>258</v>
      </c>
      <c r="W263" s="5">
        <v>7</v>
      </c>
      <c r="X263" s="5">
        <v>5</v>
      </c>
      <c r="Y263" s="5">
        <v>6</v>
      </c>
      <c r="Z263" s="5">
        <v>6</v>
      </c>
      <c r="AA263" s="5">
        <v>3</v>
      </c>
      <c r="AB263" s="5">
        <v>1</v>
      </c>
    </row>
    <row r="264" spans="22:28">
      <c r="V264">
        <f t="shared" ref="V264:V327" si="6">V263+1</f>
        <v>259</v>
      </c>
      <c r="W264" s="5">
        <v>7</v>
      </c>
      <c r="X264" s="5">
        <v>5</v>
      </c>
      <c r="Y264" s="5">
        <v>6</v>
      </c>
      <c r="Z264" s="5">
        <v>6</v>
      </c>
      <c r="AA264" s="5">
        <v>3</v>
      </c>
      <c r="AB264" s="5">
        <v>1</v>
      </c>
    </row>
    <row r="265" spans="22:28">
      <c r="V265">
        <f t="shared" si="6"/>
        <v>260</v>
      </c>
      <c r="W265" s="5">
        <v>7</v>
      </c>
      <c r="X265" s="5">
        <v>5</v>
      </c>
      <c r="Y265" s="5">
        <v>6</v>
      </c>
      <c r="Z265" s="5">
        <v>6</v>
      </c>
      <c r="AA265" s="5">
        <v>3</v>
      </c>
      <c r="AB265" s="5">
        <v>1</v>
      </c>
    </row>
    <row r="266" spans="22:28">
      <c r="V266">
        <f t="shared" si="6"/>
        <v>261</v>
      </c>
      <c r="W266" s="5">
        <v>7</v>
      </c>
      <c r="X266" s="5">
        <v>5</v>
      </c>
      <c r="Y266" s="5">
        <v>6</v>
      </c>
      <c r="Z266" s="5">
        <v>6</v>
      </c>
      <c r="AA266" s="5">
        <v>3</v>
      </c>
      <c r="AB266" s="5">
        <v>1</v>
      </c>
    </row>
    <row r="267" spans="22:28">
      <c r="V267">
        <f t="shared" si="6"/>
        <v>262</v>
      </c>
      <c r="W267" s="5">
        <v>7</v>
      </c>
      <c r="X267" s="5">
        <v>5</v>
      </c>
      <c r="Y267" s="5">
        <v>6</v>
      </c>
      <c r="Z267" s="5">
        <v>6</v>
      </c>
      <c r="AA267" s="5">
        <v>3</v>
      </c>
      <c r="AB267" s="5">
        <v>1</v>
      </c>
    </row>
    <row r="268" spans="22:28">
      <c r="V268">
        <f t="shared" si="6"/>
        <v>263</v>
      </c>
      <c r="W268" s="5">
        <v>7</v>
      </c>
      <c r="X268" s="5">
        <v>5</v>
      </c>
      <c r="Y268" s="5">
        <v>6</v>
      </c>
      <c r="Z268" s="5">
        <v>6</v>
      </c>
      <c r="AA268" s="5">
        <v>3</v>
      </c>
      <c r="AB268" s="5">
        <v>1</v>
      </c>
    </row>
    <row r="269" spans="22:28">
      <c r="V269">
        <f t="shared" si="6"/>
        <v>264</v>
      </c>
      <c r="W269" s="5">
        <v>7</v>
      </c>
      <c r="X269" s="5">
        <v>5</v>
      </c>
      <c r="Y269" s="5">
        <v>6</v>
      </c>
      <c r="Z269" s="5">
        <v>6</v>
      </c>
      <c r="AA269" s="5">
        <v>3</v>
      </c>
      <c r="AB269" s="5">
        <v>1</v>
      </c>
    </row>
    <row r="270" spans="22:28">
      <c r="V270">
        <f t="shared" si="6"/>
        <v>265</v>
      </c>
      <c r="W270" s="5">
        <v>7</v>
      </c>
      <c r="X270" s="5">
        <v>5</v>
      </c>
      <c r="Y270" s="5">
        <v>6</v>
      </c>
      <c r="Z270" s="5">
        <v>6</v>
      </c>
      <c r="AA270" s="5">
        <v>3</v>
      </c>
      <c r="AB270" s="5">
        <v>1</v>
      </c>
    </row>
    <row r="271" spans="22:28">
      <c r="V271">
        <f t="shared" si="6"/>
        <v>266</v>
      </c>
      <c r="W271" s="5">
        <v>7</v>
      </c>
      <c r="X271" s="5">
        <v>5</v>
      </c>
      <c r="Y271" s="5">
        <v>6</v>
      </c>
      <c r="Z271" s="5">
        <v>6</v>
      </c>
      <c r="AA271" s="5">
        <v>3</v>
      </c>
      <c r="AB271" s="5">
        <v>1</v>
      </c>
    </row>
    <row r="272" spans="22:28">
      <c r="V272">
        <f t="shared" si="6"/>
        <v>267</v>
      </c>
      <c r="W272" s="5">
        <v>7</v>
      </c>
      <c r="X272" s="5">
        <v>5</v>
      </c>
      <c r="Y272" s="5">
        <v>6</v>
      </c>
      <c r="Z272" s="5">
        <v>6</v>
      </c>
      <c r="AA272" s="5">
        <v>3</v>
      </c>
      <c r="AB272" s="5">
        <v>1</v>
      </c>
    </row>
    <row r="273" spans="22:28">
      <c r="V273">
        <f t="shared" si="6"/>
        <v>268</v>
      </c>
      <c r="W273" s="5">
        <v>7</v>
      </c>
      <c r="X273" s="5">
        <v>5</v>
      </c>
      <c r="Y273" s="5">
        <v>6</v>
      </c>
      <c r="Z273" s="5">
        <v>6</v>
      </c>
      <c r="AA273" s="5">
        <v>3</v>
      </c>
      <c r="AB273" s="5">
        <v>1</v>
      </c>
    </row>
    <row r="274" spans="22:28">
      <c r="V274">
        <f t="shared" si="6"/>
        <v>269</v>
      </c>
      <c r="W274" s="5">
        <v>7</v>
      </c>
      <c r="X274" s="5">
        <v>5</v>
      </c>
      <c r="Y274" s="5">
        <v>6</v>
      </c>
      <c r="Z274" s="5">
        <v>6</v>
      </c>
      <c r="AA274" s="5">
        <v>3</v>
      </c>
      <c r="AB274" s="5">
        <v>1</v>
      </c>
    </row>
    <row r="275" spans="22:28">
      <c r="V275">
        <f t="shared" si="6"/>
        <v>270</v>
      </c>
      <c r="W275" s="5">
        <v>7</v>
      </c>
      <c r="X275" s="5">
        <v>5</v>
      </c>
      <c r="Y275" s="5">
        <v>6</v>
      </c>
      <c r="Z275" s="5">
        <v>6</v>
      </c>
      <c r="AA275" s="5">
        <v>3</v>
      </c>
      <c r="AB275" s="5">
        <v>1</v>
      </c>
    </row>
    <row r="276" spans="22:28">
      <c r="V276">
        <f t="shared" si="6"/>
        <v>271</v>
      </c>
      <c r="W276" s="5">
        <v>7</v>
      </c>
      <c r="X276" s="5">
        <v>5</v>
      </c>
      <c r="Y276" s="5">
        <v>6</v>
      </c>
      <c r="Z276" s="5">
        <v>6</v>
      </c>
      <c r="AA276" s="5">
        <v>3</v>
      </c>
      <c r="AB276" s="5">
        <v>1</v>
      </c>
    </row>
    <row r="277" spans="22:28">
      <c r="V277">
        <f t="shared" si="6"/>
        <v>272</v>
      </c>
      <c r="W277" s="5">
        <v>7</v>
      </c>
      <c r="X277" s="5">
        <v>5</v>
      </c>
      <c r="Y277" s="5">
        <v>6</v>
      </c>
      <c r="Z277" s="5">
        <v>6</v>
      </c>
      <c r="AA277" s="5">
        <v>3</v>
      </c>
      <c r="AB277" s="5">
        <v>1</v>
      </c>
    </row>
    <row r="278" spans="22:28">
      <c r="V278">
        <f t="shared" si="6"/>
        <v>273</v>
      </c>
      <c r="W278" s="5">
        <v>7</v>
      </c>
      <c r="X278" s="5">
        <v>5</v>
      </c>
      <c r="Y278" s="5">
        <v>6</v>
      </c>
      <c r="Z278" s="5">
        <v>6</v>
      </c>
      <c r="AA278" s="5">
        <v>3</v>
      </c>
      <c r="AB278" s="5">
        <v>1</v>
      </c>
    </row>
    <row r="279" spans="22:28">
      <c r="V279">
        <f t="shared" si="6"/>
        <v>274</v>
      </c>
      <c r="W279" s="5">
        <v>7</v>
      </c>
      <c r="X279" s="5">
        <v>5</v>
      </c>
      <c r="Y279" s="5">
        <v>6</v>
      </c>
      <c r="Z279" s="5">
        <v>6</v>
      </c>
      <c r="AA279" s="5">
        <v>3</v>
      </c>
      <c r="AB279" s="5">
        <v>1</v>
      </c>
    </row>
    <row r="280" spans="22:28">
      <c r="V280">
        <f t="shared" si="6"/>
        <v>275</v>
      </c>
      <c r="W280" s="5">
        <v>7</v>
      </c>
      <c r="X280" s="5">
        <v>5</v>
      </c>
      <c r="Y280" s="5">
        <v>6</v>
      </c>
      <c r="Z280" s="5">
        <v>6</v>
      </c>
      <c r="AA280" s="5">
        <v>3</v>
      </c>
      <c r="AB280" s="5">
        <v>1</v>
      </c>
    </row>
    <row r="281" spans="22:28">
      <c r="V281">
        <f t="shared" si="6"/>
        <v>276</v>
      </c>
      <c r="W281" s="5">
        <v>7</v>
      </c>
      <c r="X281" s="5">
        <v>5</v>
      </c>
      <c r="Y281" s="5">
        <v>6</v>
      </c>
      <c r="Z281" s="5">
        <v>6</v>
      </c>
      <c r="AA281" s="5">
        <v>3</v>
      </c>
      <c r="AB281" s="5">
        <v>1</v>
      </c>
    </row>
    <row r="282" spans="22:28">
      <c r="V282">
        <f t="shared" si="6"/>
        <v>277</v>
      </c>
      <c r="W282" s="5">
        <v>7</v>
      </c>
      <c r="X282" s="5">
        <v>5</v>
      </c>
      <c r="Y282" s="5">
        <v>6</v>
      </c>
      <c r="Z282" s="5">
        <v>6</v>
      </c>
      <c r="AA282" s="5">
        <v>3</v>
      </c>
      <c r="AB282" s="5">
        <v>1</v>
      </c>
    </row>
    <row r="283" spans="22:28">
      <c r="V283">
        <f t="shared" si="6"/>
        <v>278</v>
      </c>
      <c r="W283" s="5">
        <v>7</v>
      </c>
      <c r="X283" s="5">
        <v>5</v>
      </c>
      <c r="Y283" s="5">
        <v>6</v>
      </c>
      <c r="Z283" s="5">
        <v>6</v>
      </c>
      <c r="AA283" s="5">
        <v>3</v>
      </c>
      <c r="AB283" s="5">
        <v>1</v>
      </c>
    </row>
    <row r="284" spans="22:28">
      <c r="V284">
        <f t="shared" si="6"/>
        <v>279</v>
      </c>
      <c r="W284" s="5">
        <v>7</v>
      </c>
      <c r="X284" s="5">
        <v>5</v>
      </c>
      <c r="Y284" s="5">
        <v>6</v>
      </c>
      <c r="Z284" s="5">
        <v>6</v>
      </c>
      <c r="AA284" s="5">
        <v>3</v>
      </c>
      <c r="AB284" s="5">
        <v>1</v>
      </c>
    </row>
    <row r="285" spans="22:28">
      <c r="V285">
        <f t="shared" si="6"/>
        <v>280</v>
      </c>
      <c r="W285" s="5">
        <v>7</v>
      </c>
      <c r="X285" s="5">
        <v>5</v>
      </c>
      <c r="Y285" s="5">
        <v>6</v>
      </c>
      <c r="Z285" s="5">
        <v>6</v>
      </c>
      <c r="AA285" s="5">
        <v>3</v>
      </c>
      <c r="AB285" s="5">
        <v>1</v>
      </c>
    </row>
    <row r="286" spans="22:28">
      <c r="V286">
        <f t="shared" si="6"/>
        <v>281</v>
      </c>
      <c r="W286" s="5">
        <v>7</v>
      </c>
      <c r="X286" s="5">
        <v>5</v>
      </c>
      <c r="Y286" s="5">
        <v>6</v>
      </c>
      <c r="Z286" s="5">
        <v>6</v>
      </c>
      <c r="AA286" s="5">
        <v>3</v>
      </c>
      <c r="AB286" s="5">
        <v>1</v>
      </c>
    </row>
    <row r="287" spans="22:28">
      <c r="V287">
        <f t="shared" si="6"/>
        <v>282</v>
      </c>
      <c r="W287" s="5">
        <v>7</v>
      </c>
      <c r="X287" s="5">
        <v>5</v>
      </c>
      <c r="Y287" s="5">
        <v>6</v>
      </c>
      <c r="Z287" s="5">
        <v>6</v>
      </c>
      <c r="AA287" s="5">
        <v>3</v>
      </c>
      <c r="AB287" s="5">
        <v>1</v>
      </c>
    </row>
    <row r="288" spans="22:28">
      <c r="V288">
        <f t="shared" si="6"/>
        <v>283</v>
      </c>
      <c r="W288" s="5">
        <v>7</v>
      </c>
      <c r="X288" s="5">
        <v>5</v>
      </c>
      <c r="Y288" s="5">
        <v>6</v>
      </c>
      <c r="Z288" s="5">
        <v>6</v>
      </c>
      <c r="AA288" s="5">
        <v>3</v>
      </c>
      <c r="AB288" s="5">
        <v>1</v>
      </c>
    </row>
    <row r="289" spans="22:28">
      <c r="V289">
        <f t="shared" si="6"/>
        <v>284</v>
      </c>
      <c r="W289" s="5">
        <v>7</v>
      </c>
      <c r="X289" s="5">
        <v>5</v>
      </c>
      <c r="Y289" s="5">
        <v>6</v>
      </c>
      <c r="Z289" s="5">
        <v>6</v>
      </c>
      <c r="AA289" s="5">
        <v>3</v>
      </c>
      <c r="AB289" s="5">
        <v>1</v>
      </c>
    </row>
    <row r="290" spans="22:28">
      <c r="V290">
        <f t="shared" si="6"/>
        <v>285</v>
      </c>
      <c r="W290" s="5">
        <v>7</v>
      </c>
      <c r="X290" s="5">
        <v>5</v>
      </c>
      <c r="Y290" s="5">
        <v>6</v>
      </c>
      <c r="Z290" s="5">
        <v>6</v>
      </c>
      <c r="AA290" s="5">
        <v>3</v>
      </c>
      <c r="AB290" s="5">
        <v>1</v>
      </c>
    </row>
    <row r="291" spans="22:28">
      <c r="V291">
        <f t="shared" si="6"/>
        <v>286</v>
      </c>
      <c r="W291" s="5">
        <v>7</v>
      </c>
      <c r="X291" s="5">
        <v>5</v>
      </c>
      <c r="Y291" s="5">
        <v>6</v>
      </c>
      <c r="Z291" s="5">
        <v>6</v>
      </c>
      <c r="AA291" s="5">
        <v>3</v>
      </c>
      <c r="AB291" s="5">
        <v>1</v>
      </c>
    </row>
    <row r="292" spans="22:28">
      <c r="V292">
        <f t="shared" si="6"/>
        <v>287</v>
      </c>
      <c r="W292" s="5">
        <v>7</v>
      </c>
      <c r="X292" s="5">
        <v>5</v>
      </c>
      <c r="Y292" s="5">
        <v>6</v>
      </c>
      <c r="Z292" s="5">
        <v>6</v>
      </c>
      <c r="AA292" s="5">
        <v>3</v>
      </c>
      <c r="AB292" s="5">
        <v>1</v>
      </c>
    </row>
    <row r="293" spans="22:28">
      <c r="V293">
        <f t="shared" si="6"/>
        <v>288</v>
      </c>
      <c r="W293" s="5">
        <v>7</v>
      </c>
      <c r="X293" s="5">
        <v>5</v>
      </c>
      <c r="Y293" s="5">
        <v>6</v>
      </c>
      <c r="Z293" s="5">
        <v>6</v>
      </c>
      <c r="AA293" s="5">
        <v>3</v>
      </c>
      <c r="AB293" s="5">
        <v>1</v>
      </c>
    </row>
    <row r="294" spans="22:28">
      <c r="V294">
        <f t="shared" si="6"/>
        <v>289</v>
      </c>
      <c r="W294" s="5">
        <v>7</v>
      </c>
      <c r="X294" s="5">
        <v>5</v>
      </c>
      <c r="Y294" s="5">
        <v>6</v>
      </c>
      <c r="Z294" s="5">
        <v>6</v>
      </c>
      <c r="AA294" s="5">
        <v>3</v>
      </c>
      <c r="AB294" s="5">
        <v>1</v>
      </c>
    </row>
    <row r="295" spans="22:28">
      <c r="V295">
        <f t="shared" si="6"/>
        <v>290</v>
      </c>
      <c r="W295" s="5">
        <v>7</v>
      </c>
      <c r="X295" s="5">
        <v>5</v>
      </c>
      <c r="Y295" s="5">
        <v>6</v>
      </c>
      <c r="Z295" s="5">
        <v>6</v>
      </c>
      <c r="AA295" s="5">
        <v>3</v>
      </c>
      <c r="AB295" s="5">
        <v>1</v>
      </c>
    </row>
    <row r="296" spans="22:28">
      <c r="V296">
        <f t="shared" si="6"/>
        <v>291</v>
      </c>
      <c r="W296" s="5">
        <v>7</v>
      </c>
      <c r="X296" s="5">
        <v>6</v>
      </c>
      <c r="Y296" s="5">
        <v>6</v>
      </c>
      <c r="Z296" s="5">
        <v>6</v>
      </c>
      <c r="AA296" s="5">
        <v>3</v>
      </c>
      <c r="AB296" s="5">
        <v>1</v>
      </c>
    </row>
    <row r="297" spans="22:28">
      <c r="V297">
        <f t="shared" si="6"/>
        <v>292</v>
      </c>
      <c r="W297" s="5">
        <v>7</v>
      </c>
      <c r="X297" s="5">
        <v>6</v>
      </c>
      <c r="Y297" s="5">
        <v>6</v>
      </c>
      <c r="Z297" s="5">
        <v>6</v>
      </c>
      <c r="AA297" s="5">
        <v>3</v>
      </c>
      <c r="AB297" s="5">
        <v>1</v>
      </c>
    </row>
    <row r="298" spans="22:28">
      <c r="V298">
        <f t="shared" si="6"/>
        <v>293</v>
      </c>
      <c r="W298" s="5">
        <v>7</v>
      </c>
      <c r="X298" s="5">
        <v>6</v>
      </c>
      <c r="Y298" s="5">
        <v>6</v>
      </c>
      <c r="Z298" s="5">
        <v>6</v>
      </c>
      <c r="AA298" s="5">
        <v>3</v>
      </c>
      <c r="AB298" s="5">
        <v>1</v>
      </c>
    </row>
    <row r="299" spans="22:28">
      <c r="V299">
        <f t="shared" si="6"/>
        <v>294</v>
      </c>
      <c r="W299" s="5">
        <v>7</v>
      </c>
      <c r="X299" s="5">
        <v>6</v>
      </c>
      <c r="Y299" s="5">
        <v>6</v>
      </c>
      <c r="Z299" s="5">
        <v>6</v>
      </c>
      <c r="AA299" s="5">
        <v>3</v>
      </c>
      <c r="AB299" s="5">
        <v>1</v>
      </c>
    </row>
    <row r="300" spans="22:28">
      <c r="V300">
        <f t="shared" si="6"/>
        <v>295</v>
      </c>
      <c r="W300" s="5">
        <v>7</v>
      </c>
      <c r="X300" s="5">
        <v>6</v>
      </c>
      <c r="Y300" s="5">
        <v>6</v>
      </c>
      <c r="Z300" s="5">
        <v>6</v>
      </c>
      <c r="AA300" s="5">
        <v>3</v>
      </c>
      <c r="AB300" s="5">
        <v>1</v>
      </c>
    </row>
    <row r="301" spans="22:28">
      <c r="V301">
        <f t="shared" si="6"/>
        <v>296</v>
      </c>
      <c r="W301" s="5">
        <v>7</v>
      </c>
      <c r="X301" s="5">
        <v>6</v>
      </c>
      <c r="Y301" s="5">
        <v>6</v>
      </c>
      <c r="Z301" s="5">
        <v>6</v>
      </c>
      <c r="AA301" s="5">
        <v>3</v>
      </c>
      <c r="AB301" s="5">
        <v>1</v>
      </c>
    </row>
    <row r="302" spans="22:28">
      <c r="V302">
        <f t="shared" si="6"/>
        <v>297</v>
      </c>
      <c r="W302" s="5">
        <v>7</v>
      </c>
      <c r="X302" s="5">
        <v>6</v>
      </c>
      <c r="Y302" s="5">
        <v>6</v>
      </c>
      <c r="Z302" s="5">
        <v>6</v>
      </c>
      <c r="AA302" s="5">
        <v>3</v>
      </c>
      <c r="AB302" s="5">
        <v>1</v>
      </c>
    </row>
    <row r="303" spans="22:28">
      <c r="V303">
        <f t="shared" si="6"/>
        <v>298</v>
      </c>
      <c r="W303" s="5">
        <v>7</v>
      </c>
      <c r="X303" s="5">
        <v>6</v>
      </c>
      <c r="Y303" s="5">
        <v>6</v>
      </c>
      <c r="Z303" s="5">
        <v>6</v>
      </c>
      <c r="AA303" s="5">
        <v>3</v>
      </c>
      <c r="AB303" s="5">
        <v>1</v>
      </c>
    </row>
    <row r="304" spans="22:28">
      <c r="V304">
        <f t="shared" si="6"/>
        <v>299</v>
      </c>
      <c r="W304" s="5">
        <v>7</v>
      </c>
      <c r="X304" s="5">
        <v>6</v>
      </c>
      <c r="Y304" s="5">
        <v>6</v>
      </c>
      <c r="Z304" s="5">
        <v>6</v>
      </c>
      <c r="AA304" s="5">
        <v>3</v>
      </c>
      <c r="AB304" s="5">
        <v>1</v>
      </c>
    </row>
    <row r="305" spans="22:28">
      <c r="V305">
        <f t="shared" si="6"/>
        <v>300</v>
      </c>
      <c r="W305" s="5">
        <v>7</v>
      </c>
      <c r="X305" s="5">
        <v>6</v>
      </c>
      <c r="Y305" s="5">
        <v>6</v>
      </c>
      <c r="Z305" s="5">
        <v>6</v>
      </c>
      <c r="AA305" s="5">
        <v>3</v>
      </c>
      <c r="AB305" s="5">
        <v>1</v>
      </c>
    </row>
    <row r="306" spans="22:28">
      <c r="V306">
        <f t="shared" si="6"/>
        <v>301</v>
      </c>
      <c r="W306" s="5">
        <v>8</v>
      </c>
      <c r="X306" s="5">
        <v>6</v>
      </c>
      <c r="Y306" s="5">
        <v>7</v>
      </c>
      <c r="Z306" s="5">
        <v>7</v>
      </c>
      <c r="AA306" s="5">
        <v>4</v>
      </c>
      <c r="AB306" s="5">
        <v>1</v>
      </c>
    </row>
    <row r="307" spans="22:28">
      <c r="V307">
        <f t="shared" si="6"/>
        <v>302</v>
      </c>
      <c r="W307" s="5">
        <v>8</v>
      </c>
      <c r="X307" s="5">
        <v>6</v>
      </c>
      <c r="Y307" s="5">
        <v>7</v>
      </c>
      <c r="Z307" s="5">
        <v>7</v>
      </c>
      <c r="AA307" s="5">
        <v>4</v>
      </c>
      <c r="AB307" s="5">
        <v>1</v>
      </c>
    </row>
    <row r="308" spans="22:28">
      <c r="V308">
        <f t="shared" si="6"/>
        <v>303</v>
      </c>
      <c r="W308" s="5">
        <v>8</v>
      </c>
      <c r="X308" s="5">
        <v>6</v>
      </c>
      <c r="Y308" s="5">
        <v>7</v>
      </c>
      <c r="Z308" s="5">
        <v>7</v>
      </c>
      <c r="AA308" s="5">
        <v>4</v>
      </c>
      <c r="AB308" s="5">
        <v>1</v>
      </c>
    </row>
    <row r="309" spans="22:28">
      <c r="V309">
        <f t="shared" si="6"/>
        <v>304</v>
      </c>
      <c r="W309" s="5">
        <v>8</v>
      </c>
      <c r="X309" s="5">
        <v>6</v>
      </c>
      <c r="Y309" s="5">
        <v>7</v>
      </c>
      <c r="Z309" s="5">
        <v>7</v>
      </c>
      <c r="AA309" s="5">
        <v>4</v>
      </c>
      <c r="AB309" s="5">
        <v>1</v>
      </c>
    </row>
    <row r="310" spans="22:28">
      <c r="V310">
        <f t="shared" si="6"/>
        <v>305</v>
      </c>
      <c r="W310" s="5">
        <v>8</v>
      </c>
      <c r="X310" s="5">
        <v>6</v>
      </c>
      <c r="Y310" s="5">
        <v>7</v>
      </c>
      <c r="Z310" s="5">
        <v>7</v>
      </c>
      <c r="AA310" s="5">
        <v>4</v>
      </c>
      <c r="AB310" s="5">
        <v>1</v>
      </c>
    </row>
    <row r="311" spans="22:28">
      <c r="V311">
        <f t="shared" si="6"/>
        <v>306</v>
      </c>
      <c r="W311" s="5">
        <v>8</v>
      </c>
      <c r="X311" s="5">
        <v>6</v>
      </c>
      <c r="Y311" s="5">
        <v>7</v>
      </c>
      <c r="Z311" s="5">
        <v>7</v>
      </c>
      <c r="AA311" s="5">
        <v>4</v>
      </c>
      <c r="AB311" s="5">
        <v>1</v>
      </c>
    </row>
    <row r="312" spans="22:28">
      <c r="V312">
        <f t="shared" si="6"/>
        <v>307</v>
      </c>
      <c r="W312" s="5">
        <v>8</v>
      </c>
      <c r="X312" s="5">
        <v>6</v>
      </c>
      <c r="Y312" s="5">
        <v>7</v>
      </c>
      <c r="Z312" s="5">
        <v>7</v>
      </c>
      <c r="AA312" s="5">
        <v>4</v>
      </c>
      <c r="AB312" s="5">
        <v>1</v>
      </c>
    </row>
    <row r="313" spans="22:28">
      <c r="V313">
        <f t="shared" si="6"/>
        <v>308</v>
      </c>
      <c r="W313" s="5">
        <v>8</v>
      </c>
      <c r="X313" s="5">
        <v>6</v>
      </c>
      <c r="Y313" s="5">
        <v>7</v>
      </c>
      <c r="Z313" s="5">
        <v>7</v>
      </c>
      <c r="AA313" s="5">
        <v>4</v>
      </c>
      <c r="AB313" s="5">
        <v>1</v>
      </c>
    </row>
    <row r="314" spans="22:28">
      <c r="V314">
        <f t="shared" si="6"/>
        <v>309</v>
      </c>
      <c r="W314" s="5">
        <v>8</v>
      </c>
      <c r="X314" s="5">
        <v>6</v>
      </c>
      <c r="Y314" s="5">
        <v>7</v>
      </c>
      <c r="Z314" s="5">
        <v>7</v>
      </c>
      <c r="AA314" s="5">
        <v>4</v>
      </c>
      <c r="AB314" s="5">
        <v>1</v>
      </c>
    </row>
    <row r="315" spans="22:28">
      <c r="V315">
        <f t="shared" si="6"/>
        <v>310</v>
      </c>
      <c r="W315" s="5">
        <v>8</v>
      </c>
      <c r="X315" s="5">
        <v>6</v>
      </c>
      <c r="Y315" s="5">
        <v>7</v>
      </c>
      <c r="Z315" s="5">
        <v>7</v>
      </c>
      <c r="AA315" s="5">
        <v>4</v>
      </c>
      <c r="AB315" s="5">
        <v>1</v>
      </c>
    </row>
    <row r="316" spans="22:28">
      <c r="V316">
        <f t="shared" si="6"/>
        <v>311</v>
      </c>
      <c r="W316" s="5">
        <v>8</v>
      </c>
      <c r="X316" s="5">
        <v>6</v>
      </c>
      <c r="Y316" s="5">
        <v>7</v>
      </c>
      <c r="Z316" s="5">
        <v>7</v>
      </c>
      <c r="AA316" s="5">
        <v>4</v>
      </c>
      <c r="AB316" s="5">
        <v>1</v>
      </c>
    </row>
    <row r="317" spans="22:28">
      <c r="V317">
        <f t="shared" si="6"/>
        <v>312</v>
      </c>
      <c r="W317" s="5">
        <v>8</v>
      </c>
      <c r="X317" s="5">
        <v>6</v>
      </c>
      <c r="Y317" s="5">
        <v>7</v>
      </c>
      <c r="Z317" s="5">
        <v>7</v>
      </c>
      <c r="AA317" s="5">
        <v>4</v>
      </c>
      <c r="AB317" s="5">
        <v>1</v>
      </c>
    </row>
    <row r="318" spans="22:28">
      <c r="V318">
        <f t="shared" si="6"/>
        <v>313</v>
      </c>
      <c r="W318" s="5">
        <v>8</v>
      </c>
      <c r="X318" s="5">
        <v>6</v>
      </c>
      <c r="Y318" s="5">
        <v>7</v>
      </c>
      <c r="Z318" s="5">
        <v>7</v>
      </c>
      <c r="AA318" s="5">
        <v>4</v>
      </c>
      <c r="AB318" s="5">
        <v>1</v>
      </c>
    </row>
    <row r="319" spans="22:28">
      <c r="V319">
        <f t="shared" si="6"/>
        <v>314</v>
      </c>
      <c r="W319" s="5">
        <v>8</v>
      </c>
      <c r="X319" s="5">
        <v>6</v>
      </c>
      <c r="Y319" s="5">
        <v>7</v>
      </c>
      <c r="Z319" s="5">
        <v>7</v>
      </c>
      <c r="AA319" s="5">
        <v>4</v>
      </c>
      <c r="AB319" s="5">
        <v>1</v>
      </c>
    </row>
    <row r="320" spans="22:28">
      <c r="V320">
        <f t="shared" si="6"/>
        <v>315</v>
      </c>
      <c r="W320" s="5">
        <v>8</v>
      </c>
      <c r="X320" s="5">
        <v>6</v>
      </c>
      <c r="Y320" s="5">
        <v>7</v>
      </c>
      <c r="Z320" s="5">
        <v>7</v>
      </c>
      <c r="AA320" s="5">
        <v>4</v>
      </c>
      <c r="AB320" s="5">
        <v>1</v>
      </c>
    </row>
    <row r="321" spans="22:28">
      <c r="V321">
        <f t="shared" si="6"/>
        <v>316</v>
      </c>
      <c r="W321" s="5">
        <v>8</v>
      </c>
      <c r="X321" s="5">
        <v>6</v>
      </c>
      <c r="Y321" s="5">
        <v>7</v>
      </c>
      <c r="Z321" s="5">
        <v>7</v>
      </c>
      <c r="AA321" s="5">
        <v>4</v>
      </c>
      <c r="AB321" s="5">
        <v>1</v>
      </c>
    </row>
    <row r="322" spans="22:28">
      <c r="V322">
        <f t="shared" si="6"/>
        <v>317</v>
      </c>
      <c r="W322" s="5">
        <v>8</v>
      </c>
      <c r="X322" s="5">
        <v>6</v>
      </c>
      <c r="Y322" s="5">
        <v>7</v>
      </c>
      <c r="Z322" s="5">
        <v>7</v>
      </c>
      <c r="AA322" s="5">
        <v>4</v>
      </c>
      <c r="AB322" s="5">
        <v>1</v>
      </c>
    </row>
    <row r="323" spans="22:28">
      <c r="V323">
        <f t="shared" si="6"/>
        <v>318</v>
      </c>
      <c r="W323" s="5">
        <v>8</v>
      </c>
      <c r="X323" s="5">
        <v>6</v>
      </c>
      <c r="Y323" s="5">
        <v>7</v>
      </c>
      <c r="Z323" s="5">
        <v>7</v>
      </c>
      <c r="AA323" s="5">
        <v>4</v>
      </c>
      <c r="AB323" s="5">
        <v>1</v>
      </c>
    </row>
    <row r="324" spans="22:28">
      <c r="V324">
        <f t="shared" si="6"/>
        <v>319</v>
      </c>
      <c r="W324" s="5">
        <v>8</v>
      </c>
      <c r="X324" s="5">
        <v>6</v>
      </c>
      <c r="Y324" s="5">
        <v>7</v>
      </c>
      <c r="Z324" s="5">
        <v>7</v>
      </c>
      <c r="AA324" s="5">
        <v>4</v>
      </c>
      <c r="AB324" s="5">
        <v>1</v>
      </c>
    </row>
    <row r="325" spans="22:28">
      <c r="V325">
        <f t="shared" si="6"/>
        <v>320</v>
      </c>
      <c r="W325" s="5">
        <v>8</v>
      </c>
      <c r="X325" s="5">
        <v>6</v>
      </c>
      <c r="Y325" s="5">
        <v>7</v>
      </c>
      <c r="Z325" s="5">
        <v>7</v>
      </c>
      <c r="AA325" s="5">
        <v>4</v>
      </c>
      <c r="AB325" s="5">
        <v>1</v>
      </c>
    </row>
    <row r="326" spans="22:28">
      <c r="V326">
        <f t="shared" si="6"/>
        <v>321</v>
      </c>
      <c r="W326" s="5">
        <v>8</v>
      </c>
      <c r="X326" s="5">
        <v>6</v>
      </c>
      <c r="Y326" s="5">
        <v>7</v>
      </c>
      <c r="Z326" s="5">
        <v>7</v>
      </c>
      <c r="AA326" s="5">
        <v>4</v>
      </c>
      <c r="AB326" s="5">
        <v>1</v>
      </c>
    </row>
    <row r="327" spans="22:28">
      <c r="V327">
        <f t="shared" si="6"/>
        <v>322</v>
      </c>
      <c r="W327" s="5">
        <v>8</v>
      </c>
      <c r="X327" s="5">
        <v>6</v>
      </c>
      <c r="Y327" s="5">
        <v>7</v>
      </c>
      <c r="Z327" s="5">
        <v>7</v>
      </c>
      <c r="AA327" s="5">
        <v>4</v>
      </c>
      <c r="AB327" s="5">
        <v>1</v>
      </c>
    </row>
    <row r="328" spans="22:28">
      <c r="V328">
        <f t="shared" ref="V328:V391" si="7">V327+1</f>
        <v>323</v>
      </c>
      <c r="W328" s="5">
        <v>8</v>
      </c>
      <c r="X328" s="5">
        <v>6</v>
      </c>
      <c r="Y328" s="5">
        <v>7</v>
      </c>
      <c r="Z328" s="5">
        <v>7</v>
      </c>
      <c r="AA328" s="5">
        <v>4</v>
      </c>
      <c r="AB328" s="5">
        <v>1</v>
      </c>
    </row>
    <row r="329" spans="22:28">
      <c r="V329">
        <f t="shared" si="7"/>
        <v>324</v>
      </c>
      <c r="W329" s="5">
        <v>8</v>
      </c>
      <c r="X329" s="5">
        <v>6</v>
      </c>
      <c r="Y329" s="5">
        <v>7</v>
      </c>
      <c r="Z329" s="5">
        <v>7</v>
      </c>
      <c r="AA329" s="5">
        <v>4</v>
      </c>
      <c r="AB329" s="5">
        <v>1</v>
      </c>
    </row>
    <row r="330" spans="22:28">
      <c r="V330">
        <f t="shared" si="7"/>
        <v>325</v>
      </c>
      <c r="W330" s="5">
        <v>8</v>
      </c>
      <c r="X330" s="5">
        <v>6</v>
      </c>
      <c r="Y330" s="5">
        <v>7</v>
      </c>
      <c r="Z330" s="5">
        <v>7</v>
      </c>
      <c r="AA330" s="5">
        <v>4</v>
      </c>
      <c r="AB330" s="5">
        <v>1</v>
      </c>
    </row>
    <row r="331" spans="22:28">
      <c r="V331">
        <f t="shared" si="7"/>
        <v>326</v>
      </c>
      <c r="W331" s="5">
        <v>8</v>
      </c>
      <c r="X331" s="5">
        <v>6</v>
      </c>
      <c r="Y331" s="5">
        <v>7</v>
      </c>
      <c r="Z331" s="5">
        <v>7</v>
      </c>
      <c r="AA331" s="5">
        <v>4</v>
      </c>
      <c r="AB331" s="5">
        <v>1</v>
      </c>
    </row>
    <row r="332" spans="22:28">
      <c r="V332">
        <f t="shared" si="7"/>
        <v>327</v>
      </c>
      <c r="W332" s="5">
        <v>8</v>
      </c>
      <c r="X332" s="5">
        <v>6</v>
      </c>
      <c r="Y332" s="5">
        <v>7</v>
      </c>
      <c r="Z332" s="5">
        <v>7</v>
      </c>
      <c r="AA332" s="5">
        <v>4</v>
      </c>
      <c r="AB332" s="5">
        <v>1</v>
      </c>
    </row>
    <row r="333" spans="22:28">
      <c r="V333">
        <f t="shared" si="7"/>
        <v>328</v>
      </c>
      <c r="W333" s="5">
        <v>8</v>
      </c>
      <c r="X333" s="5">
        <v>6</v>
      </c>
      <c r="Y333" s="5">
        <v>7</v>
      </c>
      <c r="Z333" s="5">
        <v>7</v>
      </c>
      <c r="AA333" s="5">
        <v>4</v>
      </c>
      <c r="AB333" s="5">
        <v>1</v>
      </c>
    </row>
    <row r="334" spans="22:28">
      <c r="V334">
        <f t="shared" si="7"/>
        <v>329</v>
      </c>
      <c r="W334" s="5">
        <v>8</v>
      </c>
      <c r="X334" s="5">
        <v>6</v>
      </c>
      <c r="Y334" s="5">
        <v>7</v>
      </c>
      <c r="Z334" s="5">
        <v>7</v>
      </c>
      <c r="AA334" s="5">
        <v>4</v>
      </c>
      <c r="AB334" s="5">
        <v>1</v>
      </c>
    </row>
    <row r="335" spans="22:28">
      <c r="V335">
        <f t="shared" si="7"/>
        <v>330</v>
      </c>
      <c r="W335" s="5">
        <v>8</v>
      </c>
      <c r="X335" s="5">
        <v>6</v>
      </c>
      <c r="Y335" s="5">
        <v>7</v>
      </c>
      <c r="Z335" s="5">
        <v>7</v>
      </c>
      <c r="AA335" s="5">
        <v>4</v>
      </c>
      <c r="AB335" s="5">
        <v>1</v>
      </c>
    </row>
    <row r="336" spans="22:28">
      <c r="V336">
        <f t="shared" si="7"/>
        <v>331</v>
      </c>
      <c r="W336" s="5">
        <v>8</v>
      </c>
      <c r="X336" s="5">
        <v>6</v>
      </c>
      <c r="Y336" s="5">
        <v>7</v>
      </c>
      <c r="Z336" s="5">
        <v>7</v>
      </c>
      <c r="AA336" s="5">
        <v>4</v>
      </c>
      <c r="AB336" s="5">
        <v>1</v>
      </c>
    </row>
    <row r="337" spans="22:28">
      <c r="V337">
        <f t="shared" si="7"/>
        <v>332</v>
      </c>
      <c r="W337" s="5">
        <v>8</v>
      </c>
      <c r="X337" s="5">
        <v>6</v>
      </c>
      <c r="Y337" s="5">
        <v>7</v>
      </c>
      <c r="Z337" s="5">
        <v>7</v>
      </c>
      <c r="AA337" s="5">
        <v>4</v>
      </c>
      <c r="AB337" s="5">
        <v>1</v>
      </c>
    </row>
    <row r="338" spans="22:28">
      <c r="V338">
        <f t="shared" si="7"/>
        <v>333</v>
      </c>
      <c r="W338" s="5">
        <v>8</v>
      </c>
      <c r="X338" s="5">
        <v>6</v>
      </c>
      <c r="Y338" s="5">
        <v>7</v>
      </c>
      <c r="Z338" s="5">
        <v>7</v>
      </c>
      <c r="AA338" s="5">
        <v>4</v>
      </c>
      <c r="AB338" s="5">
        <v>1</v>
      </c>
    </row>
    <row r="339" spans="22:28">
      <c r="V339">
        <f t="shared" si="7"/>
        <v>334</v>
      </c>
      <c r="W339" s="5">
        <v>8</v>
      </c>
      <c r="X339" s="5">
        <v>6</v>
      </c>
      <c r="Y339" s="5">
        <v>7</v>
      </c>
      <c r="Z339" s="5">
        <v>7</v>
      </c>
      <c r="AA339" s="5">
        <v>4</v>
      </c>
      <c r="AB339" s="5">
        <v>1</v>
      </c>
    </row>
    <row r="340" spans="22:28">
      <c r="V340">
        <f t="shared" si="7"/>
        <v>335</v>
      </c>
      <c r="W340" s="5">
        <v>8</v>
      </c>
      <c r="X340" s="5">
        <v>6</v>
      </c>
      <c r="Y340" s="5">
        <v>7</v>
      </c>
      <c r="Z340" s="5">
        <v>7</v>
      </c>
      <c r="AA340" s="5">
        <v>4</v>
      </c>
      <c r="AB340" s="5">
        <v>1</v>
      </c>
    </row>
    <row r="341" spans="22:28">
      <c r="V341">
        <f t="shared" si="7"/>
        <v>336</v>
      </c>
      <c r="W341" s="5">
        <v>8</v>
      </c>
      <c r="X341" s="5">
        <v>6</v>
      </c>
      <c r="Y341" s="5">
        <v>7</v>
      </c>
      <c r="Z341" s="5">
        <v>7</v>
      </c>
      <c r="AA341" s="5">
        <v>4</v>
      </c>
      <c r="AB341" s="5">
        <v>1</v>
      </c>
    </row>
    <row r="342" spans="22:28">
      <c r="V342">
        <f t="shared" si="7"/>
        <v>337</v>
      </c>
      <c r="W342" s="5">
        <v>8</v>
      </c>
      <c r="X342" s="5">
        <v>6</v>
      </c>
      <c r="Y342" s="5">
        <v>7</v>
      </c>
      <c r="Z342" s="5">
        <v>7</v>
      </c>
      <c r="AA342" s="5">
        <v>4</v>
      </c>
      <c r="AB342" s="5">
        <v>1</v>
      </c>
    </row>
    <row r="343" spans="22:28">
      <c r="V343">
        <f t="shared" si="7"/>
        <v>338</v>
      </c>
      <c r="W343" s="5">
        <v>8</v>
      </c>
      <c r="X343" s="5">
        <v>6</v>
      </c>
      <c r="Y343" s="5">
        <v>7</v>
      </c>
      <c r="Z343" s="5">
        <v>7</v>
      </c>
      <c r="AA343" s="5">
        <v>4</v>
      </c>
      <c r="AB343" s="5">
        <v>1</v>
      </c>
    </row>
    <row r="344" spans="22:28">
      <c r="V344">
        <f t="shared" si="7"/>
        <v>339</v>
      </c>
      <c r="W344" s="5">
        <v>8</v>
      </c>
      <c r="X344" s="5">
        <v>6</v>
      </c>
      <c r="Y344" s="5">
        <v>7</v>
      </c>
      <c r="Z344" s="5">
        <v>7</v>
      </c>
      <c r="AA344" s="5">
        <v>4</v>
      </c>
      <c r="AB344" s="5">
        <v>1</v>
      </c>
    </row>
    <row r="345" spans="22:28">
      <c r="V345">
        <f t="shared" si="7"/>
        <v>340</v>
      </c>
      <c r="W345" s="5">
        <v>8</v>
      </c>
      <c r="X345" s="5">
        <v>6</v>
      </c>
      <c r="Y345" s="5">
        <v>7</v>
      </c>
      <c r="Z345" s="5">
        <v>7</v>
      </c>
      <c r="AA345" s="5">
        <v>4</v>
      </c>
      <c r="AB345" s="5">
        <v>1</v>
      </c>
    </row>
    <row r="346" spans="22:28">
      <c r="V346">
        <f t="shared" si="7"/>
        <v>341</v>
      </c>
      <c r="W346" s="5">
        <v>8</v>
      </c>
      <c r="X346" s="5">
        <v>6</v>
      </c>
      <c r="Y346" s="5">
        <v>7</v>
      </c>
      <c r="Z346" s="5">
        <v>7</v>
      </c>
      <c r="AA346" s="5">
        <v>4</v>
      </c>
      <c r="AB346" s="5">
        <v>1</v>
      </c>
    </row>
    <row r="347" spans="22:28">
      <c r="V347">
        <f t="shared" si="7"/>
        <v>342</v>
      </c>
      <c r="W347" s="5">
        <v>8</v>
      </c>
      <c r="X347" s="5">
        <v>6</v>
      </c>
      <c r="Y347" s="5">
        <v>7</v>
      </c>
      <c r="Z347" s="5">
        <v>7</v>
      </c>
      <c r="AA347" s="5">
        <v>4</v>
      </c>
      <c r="AB347" s="5">
        <v>1</v>
      </c>
    </row>
    <row r="348" spans="22:28">
      <c r="V348">
        <f t="shared" si="7"/>
        <v>343</v>
      </c>
      <c r="W348" s="5">
        <v>8</v>
      </c>
      <c r="X348" s="5">
        <v>6</v>
      </c>
      <c r="Y348" s="5">
        <v>7</v>
      </c>
      <c r="Z348" s="5">
        <v>7</v>
      </c>
      <c r="AA348" s="5">
        <v>4</v>
      </c>
      <c r="AB348" s="5">
        <v>1</v>
      </c>
    </row>
    <row r="349" spans="22:28">
      <c r="V349">
        <f t="shared" si="7"/>
        <v>344</v>
      </c>
      <c r="W349" s="5">
        <v>8</v>
      </c>
      <c r="X349" s="5">
        <v>6</v>
      </c>
      <c r="Y349" s="5">
        <v>7</v>
      </c>
      <c r="Z349" s="5">
        <v>7</v>
      </c>
      <c r="AA349" s="5">
        <v>4</v>
      </c>
      <c r="AB349" s="5">
        <v>1</v>
      </c>
    </row>
    <row r="350" spans="22:28">
      <c r="V350">
        <f t="shared" si="7"/>
        <v>345</v>
      </c>
      <c r="W350" s="5">
        <v>8</v>
      </c>
      <c r="X350" s="5">
        <v>6</v>
      </c>
      <c r="Y350" s="5">
        <v>7</v>
      </c>
      <c r="Z350" s="5">
        <v>7</v>
      </c>
      <c r="AA350" s="5">
        <v>4</v>
      </c>
      <c r="AB350" s="5">
        <v>1</v>
      </c>
    </row>
    <row r="351" spans="22:28">
      <c r="V351">
        <f t="shared" si="7"/>
        <v>346</v>
      </c>
      <c r="W351" s="5">
        <v>8</v>
      </c>
      <c r="X351" s="5">
        <v>6</v>
      </c>
      <c r="Y351" s="5">
        <v>7</v>
      </c>
      <c r="Z351" s="5">
        <v>7</v>
      </c>
      <c r="AA351" s="5">
        <v>4</v>
      </c>
      <c r="AB351" s="5">
        <v>1</v>
      </c>
    </row>
    <row r="352" spans="22:28">
      <c r="V352">
        <f t="shared" si="7"/>
        <v>347</v>
      </c>
      <c r="W352" s="5">
        <v>8</v>
      </c>
      <c r="X352" s="5">
        <v>6</v>
      </c>
      <c r="Y352" s="5">
        <v>7</v>
      </c>
      <c r="Z352" s="5">
        <v>7</v>
      </c>
      <c r="AA352" s="5">
        <v>4</v>
      </c>
      <c r="AB352" s="5">
        <v>1</v>
      </c>
    </row>
    <row r="353" spans="22:28">
      <c r="V353">
        <f t="shared" si="7"/>
        <v>348</v>
      </c>
      <c r="W353" s="5">
        <v>8</v>
      </c>
      <c r="X353" s="5">
        <v>6</v>
      </c>
      <c r="Y353" s="5">
        <v>7</v>
      </c>
      <c r="Z353" s="5">
        <v>7</v>
      </c>
      <c r="AA353" s="5">
        <v>4</v>
      </c>
      <c r="AB353" s="5">
        <v>1</v>
      </c>
    </row>
    <row r="354" spans="22:28">
      <c r="V354">
        <f t="shared" si="7"/>
        <v>349</v>
      </c>
      <c r="W354" s="5">
        <v>8</v>
      </c>
      <c r="X354" s="5">
        <v>6</v>
      </c>
      <c r="Y354" s="5">
        <v>7</v>
      </c>
      <c r="Z354" s="5">
        <v>7</v>
      </c>
      <c r="AA354" s="5">
        <v>4</v>
      </c>
      <c r="AB354" s="5">
        <v>1</v>
      </c>
    </row>
    <row r="355" spans="22:28">
      <c r="V355">
        <f t="shared" si="7"/>
        <v>350</v>
      </c>
      <c r="W355" s="5">
        <v>8</v>
      </c>
      <c r="X355" s="5">
        <v>6</v>
      </c>
      <c r="Y355" s="5">
        <v>7</v>
      </c>
      <c r="Z355" s="5">
        <v>7</v>
      </c>
      <c r="AA355" s="5">
        <v>4</v>
      </c>
      <c r="AB355" s="5">
        <v>1</v>
      </c>
    </row>
    <row r="356" spans="22:28">
      <c r="V356">
        <f t="shared" si="7"/>
        <v>351</v>
      </c>
      <c r="W356" s="5">
        <v>9</v>
      </c>
      <c r="X356" s="5">
        <v>6</v>
      </c>
      <c r="Y356" s="5">
        <v>8</v>
      </c>
      <c r="Z356" s="5">
        <v>8</v>
      </c>
      <c r="AA356" s="5">
        <v>4</v>
      </c>
      <c r="AB356" s="5">
        <v>1</v>
      </c>
    </row>
    <row r="357" spans="22:28">
      <c r="V357">
        <f t="shared" si="7"/>
        <v>352</v>
      </c>
      <c r="W357" s="5">
        <v>9</v>
      </c>
      <c r="X357" s="5">
        <v>6</v>
      </c>
      <c r="Y357" s="5">
        <v>8</v>
      </c>
      <c r="Z357" s="5">
        <v>8</v>
      </c>
      <c r="AA357" s="5">
        <v>4</v>
      </c>
      <c r="AB357" s="5">
        <v>1</v>
      </c>
    </row>
    <row r="358" spans="22:28">
      <c r="V358">
        <f t="shared" si="7"/>
        <v>353</v>
      </c>
      <c r="W358" s="5">
        <v>9</v>
      </c>
      <c r="X358" s="5">
        <v>6</v>
      </c>
      <c r="Y358" s="5">
        <v>8</v>
      </c>
      <c r="Z358" s="5">
        <v>8</v>
      </c>
      <c r="AA358" s="5">
        <v>4</v>
      </c>
      <c r="AB358" s="5">
        <v>1</v>
      </c>
    </row>
    <row r="359" spans="22:28">
      <c r="V359">
        <f t="shared" si="7"/>
        <v>354</v>
      </c>
      <c r="W359" s="5">
        <v>9</v>
      </c>
      <c r="X359" s="5">
        <v>6</v>
      </c>
      <c r="Y359" s="5">
        <v>8</v>
      </c>
      <c r="Z359" s="5">
        <v>8</v>
      </c>
      <c r="AA359" s="5">
        <v>4</v>
      </c>
      <c r="AB359" s="5">
        <v>1</v>
      </c>
    </row>
    <row r="360" spans="22:28">
      <c r="V360">
        <f t="shared" si="7"/>
        <v>355</v>
      </c>
      <c r="W360" s="5">
        <v>9</v>
      </c>
      <c r="X360" s="5">
        <v>6</v>
      </c>
      <c r="Y360" s="5">
        <v>8</v>
      </c>
      <c r="Z360" s="5">
        <v>8</v>
      </c>
      <c r="AA360" s="5">
        <v>4</v>
      </c>
      <c r="AB360" s="5">
        <v>1</v>
      </c>
    </row>
    <row r="361" spans="22:28">
      <c r="V361">
        <f t="shared" si="7"/>
        <v>356</v>
      </c>
      <c r="W361" s="5">
        <v>9</v>
      </c>
      <c r="X361" s="5">
        <v>6</v>
      </c>
      <c r="Y361" s="5">
        <v>8</v>
      </c>
      <c r="Z361" s="5">
        <v>8</v>
      </c>
      <c r="AA361" s="5">
        <v>4</v>
      </c>
      <c r="AB361" s="5">
        <v>1</v>
      </c>
    </row>
    <row r="362" spans="22:28">
      <c r="V362">
        <f t="shared" si="7"/>
        <v>357</v>
      </c>
      <c r="W362" s="5">
        <v>9</v>
      </c>
      <c r="X362" s="5">
        <v>6</v>
      </c>
      <c r="Y362" s="5">
        <v>8</v>
      </c>
      <c r="Z362" s="5">
        <v>8</v>
      </c>
      <c r="AA362" s="5">
        <v>4</v>
      </c>
      <c r="AB362" s="5">
        <v>1</v>
      </c>
    </row>
    <row r="363" spans="22:28">
      <c r="V363">
        <f t="shared" si="7"/>
        <v>358</v>
      </c>
      <c r="W363" s="5">
        <v>9</v>
      </c>
      <c r="X363" s="5">
        <v>6</v>
      </c>
      <c r="Y363" s="5">
        <v>8</v>
      </c>
      <c r="Z363" s="5">
        <v>8</v>
      </c>
      <c r="AA363" s="5">
        <v>4</v>
      </c>
      <c r="AB363" s="5">
        <v>1</v>
      </c>
    </row>
    <row r="364" spans="22:28">
      <c r="V364">
        <f t="shared" si="7"/>
        <v>359</v>
      </c>
      <c r="W364" s="5">
        <v>9</v>
      </c>
      <c r="X364" s="5">
        <v>6</v>
      </c>
      <c r="Y364" s="5">
        <v>8</v>
      </c>
      <c r="Z364" s="5">
        <v>8</v>
      </c>
      <c r="AA364" s="5">
        <v>4</v>
      </c>
      <c r="AB364" s="5">
        <v>1</v>
      </c>
    </row>
    <row r="365" spans="22:28">
      <c r="V365">
        <f t="shared" si="7"/>
        <v>360</v>
      </c>
      <c r="W365" s="5">
        <v>9</v>
      </c>
      <c r="X365" s="5">
        <v>6</v>
      </c>
      <c r="Y365" s="5">
        <v>8</v>
      </c>
      <c r="Z365" s="5">
        <v>8</v>
      </c>
      <c r="AA365" s="5">
        <v>4</v>
      </c>
      <c r="AB365" s="5">
        <v>1</v>
      </c>
    </row>
    <row r="366" spans="22:28">
      <c r="V366">
        <f t="shared" si="7"/>
        <v>361</v>
      </c>
      <c r="W366" s="5">
        <v>9</v>
      </c>
      <c r="X366" s="5">
        <v>6</v>
      </c>
      <c r="Y366" s="5">
        <v>8</v>
      </c>
      <c r="Z366" s="5">
        <v>8</v>
      </c>
      <c r="AA366" s="5">
        <v>4</v>
      </c>
      <c r="AB366" s="5">
        <v>1</v>
      </c>
    </row>
    <row r="367" spans="22:28">
      <c r="V367">
        <f t="shared" si="7"/>
        <v>362</v>
      </c>
      <c r="W367" s="5">
        <v>9</v>
      </c>
      <c r="X367" s="5">
        <v>6</v>
      </c>
      <c r="Y367" s="5">
        <v>8</v>
      </c>
      <c r="Z367" s="5">
        <v>8</v>
      </c>
      <c r="AA367" s="5">
        <v>4</v>
      </c>
      <c r="AB367" s="5">
        <v>1</v>
      </c>
    </row>
    <row r="368" spans="22:28">
      <c r="V368">
        <f t="shared" si="7"/>
        <v>363</v>
      </c>
      <c r="W368" s="5">
        <v>9</v>
      </c>
      <c r="X368" s="5">
        <v>6</v>
      </c>
      <c r="Y368" s="5">
        <v>8</v>
      </c>
      <c r="Z368" s="5">
        <v>8</v>
      </c>
      <c r="AA368" s="5">
        <v>4</v>
      </c>
      <c r="AB368" s="5">
        <v>1</v>
      </c>
    </row>
    <row r="369" spans="22:28">
      <c r="V369">
        <f t="shared" si="7"/>
        <v>364</v>
      </c>
      <c r="W369" s="5">
        <v>9</v>
      </c>
      <c r="X369" s="5">
        <v>6</v>
      </c>
      <c r="Y369" s="5">
        <v>8</v>
      </c>
      <c r="Z369" s="5">
        <v>8</v>
      </c>
      <c r="AA369" s="5">
        <v>4</v>
      </c>
      <c r="AB369" s="5">
        <v>1</v>
      </c>
    </row>
    <row r="370" spans="22:28">
      <c r="V370">
        <f t="shared" si="7"/>
        <v>365</v>
      </c>
      <c r="W370" s="5">
        <v>9</v>
      </c>
      <c r="X370" s="5">
        <v>6</v>
      </c>
      <c r="Y370" s="5">
        <v>8</v>
      </c>
      <c r="Z370" s="5">
        <v>8</v>
      </c>
      <c r="AA370" s="5">
        <v>4</v>
      </c>
      <c r="AB370" s="5">
        <v>1</v>
      </c>
    </row>
    <row r="371" spans="22:28">
      <c r="V371">
        <f t="shared" si="7"/>
        <v>366</v>
      </c>
      <c r="W371" s="5">
        <v>9</v>
      </c>
      <c r="X371" s="5">
        <v>6</v>
      </c>
      <c r="Y371" s="5">
        <v>8</v>
      </c>
      <c r="Z371" s="5">
        <v>8</v>
      </c>
      <c r="AA371" s="5">
        <v>4</v>
      </c>
      <c r="AB371" s="5">
        <v>1</v>
      </c>
    </row>
    <row r="372" spans="22:28">
      <c r="V372">
        <f t="shared" si="7"/>
        <v>367</v>
      </c>
      <c r="W372" s="5">
        <v>9</v>
      </c>
      <c r="X372" s="5">
        <v>6</v>
      </c>
      <c r="Y372" s="5">
        <v>8</v>
      </c>
      <c r="Z372" s="5">
        <v>8</v>
      </c>
      <c r="AA372" s="5">
        <v>4</v>
      </c>
      <c r="AB372" s="5">
        <v>1</v>
      </c>
    </row>
    <row r="373" spans="22:28">
      <c r="V373">
        <f t="shared" si="7"/>
        <v>368</v>
      </c>
      <c r="W373" s="5">
        <v>9</v>
      </c>
      <c r="X373" s="5">
        <v>6</v>
      </c>
      <c r="Y373" s="5">
        <v>8</v>
      </c>
      <c r="Z373" s="5">
        <v>8</v>
      </c>
      <c r="AA373" s="5">
        <v>4</v>
      </c>
      <c r="AB373" s="5">
        <v>1</v>
      </c>
    </row>
    <row r="374" spans="22:28">
      <c r="V374">
        <f t="shared" si="7"/>
        <v>369</v>
      </c>
      <c r="W374" s="5">
        <v>9</v>
      </c>
      <c r="X374" s="5">
        <v>6</v>
      </c>
      <c r="Y374" s="5">
        <v>8</v>
      </c>
      <c r="Z374" s="5">
        <v>8</v>
      </c>
      <c r="AA374" s="5">
        <v>4</v>
      </c>
      <c r="AB374" s="5">
        <v>1</v>
      </c>
    </row>
    <row r="375" spans="22:28">
      <c r="V375">
        <f t="shared" si="7"/>
        <v>370</v>
      </c>
      <c r="W375" s="5">
        <v>9</v>
      </c>
      <c r="X375" s="5">
        <v>6</v>
      </c>
      <c r="Y375" s="5">
        <v>8</v>
      </c>
      <c r="Z375" s="5">
        <v>8</v>
      </c>
      <c r="AA375" s="5">
        <v>4</v>
      </c>
      <c r="AB375" s="5">
        <v>1</v>
      </c>
    </row>
    <row r="376" spans="22:28">
      <c r="V376">
        <f t="shared" si="7"/>
        <v>371</v>
      </c>
      <c r="W376" s="5">
        <v>9</v>
      </c>
      <c r="X376" s="5">
        <v>7</v>
      </c>
      <c r="Y376" s="5">
        <v>8</v>
      </c>
      <c r="Z376" s="5">
        <v>8</v>
      </c>
      <c r="AA376" s="5">
        <v>4</v>
      </c>
      <c r="AB376" s="5">
        <v>1</v>
      </c>
    </row>
    <row r="377" spans="22:28">
      <c r="V377">
        <f t="shared" si="7"/>
        <v>372</v>
      </c>
      <c r="W377" s="5">
        <v>9</v>
      </c>
      <c r="X377" s="5">
        <v>7</v>
      </c>
      <c r="Y377" s="5">
        <v>8</v>
      </c>
      <c r="Z377" s="5">
        <v>8</v>
      </c>
      <c r="AA377" s="5">
        <v>4</v>
      </c>
      <c r="AB377" s="5">
        <v>1</v>
      </c>
    </row>
    <row r="378" spans="22:28">
      <c r="V378">
        <f t="shared" si="7"/>
        <v>373</v>
      </c>
      <c r="W378" s="5">
        <v>9</v>
      </c>
      <c r="X378" s="5">
        <v>7</v>
      </c>
      <c r="Y378" s="5">
        <v>8</v>
      </c>
      <c r="Z378" s="5">
        <v>8</v>
      </c>
      <c r="AA378" s="5">
        <v>4</v>
      </c>
      <c r="AB378" s="5">
        <v>1</v>
      </c>
    </row>
    <row r="379" spans="22:28">
      <c r="V379">
        <f t="shared" si="7"/>
        <v>374</v>
      </c>
      <c r="W379" s="5">
        <v>9</v>
      </c>
      <c r="X379" s="5">
        <v>7</v>
      </c>
      <c r="Y379" s="5">
        <v>8</v>
      </c>
      <c r="Z379" s="5">
        <v>8</v>
      </c>
      <c r="AA379" s="5">
        <v>4</v>
      </c>
      <c r="AB379" s="5">
        <v>1</v>
      </c>
    </row>
    <row r="380" spans="22:28">
      <c r="V380">
        <f t="shared" si="7"/>
        <v>375</v>
      </c>
      <c r="W380" s="5">
        <v>9</v>
      </c>
      <c r="X380" s="5">
        <v>7</v>
      </c>
      <c r="Y380" s="5">
        <v>8</v>
      </c>
      <c r="Z380" s="5">
        <v>8</v>
      </c>
      <c r="AA380" s="5">
        <v>4</v>
      </c>
      <c r="AB380" s="5">
        <v>1</v>
      </c>
    </row>
    <row r="381" spans="22:28">
      <c r="V381">
        <f t="shared" si="7"/>
        <v>376</v>
      </c>
      <c r="W381" s="5">
        <v>9</v>
      </c>
      <c r="X381" s="5">
        <v>7</v>
      </c>
      <c r="Y381" s="5">
        <v>8</v>
      </c>
      <c r="Z381" s="5">
        <v>8</v>
      </c>
      <c r="AA381" s="5">
        <v>4</v>
      </c>
      <c r="AB381" s="5">
        <v>1</v>
      </c>
    </row>
    <row r="382" spans="22:28">
      <c r="V382">
        <f t="shared" si="7"/>
        <v>377</v>
      </c>
      <c r="W382" s="5">
        <v>9</v>
      </c>
      <c r="X382" s="5">
        <v>7</v>
      </c>
      <c r="Y382" s="5">
        <v>8</v>
      </c>
      <c r="Z382" s="5">
        <v>8</v>
      </c>
      <c r="AA382" s="5">
        <v>4</v>
      </c>
      <c r="AB382" s="5">
        <v>1</v>
      </c>
    </row>
    <row r="383" spans="22:28">
      <c r="V383">
        <f t="shared" si="7"/>
        <v>378</v>
      </c>
      <c r="W383" s="5">
        <v>9</v>
      </c>
      <c r="X383" s="5">
        <v>7</v>
      </c>
      <c r="Y383" s="5">
        <v>8</v>
      </c>
      <c r="Z383" s="5">
        <v>8</v>
      </c>
      <c r="AA383" s="5">
        <v>4</v>
      </c>
      <c r="AB383" s="5">
        <v>1</v>
      </c>
    </row>
    <row r="384" spans="22:28">
      <c r="V384">
        <f t="shared" si="7"/>
        <v>379</v>
      </c>
      <c r="W384" s="5">
        <v>9</v>
      </c>
      <c r="X384" s="5">
        <v>7</v>
      </c>
      <c r="Y384" s="5">
        <v>8</v>
      </c>
      <c r="Z384" s="5">
        <v>8</v>
      </c>
      <c r="AA384" s="5">
        <v>4</v>
      </c>
      <c r="AB384" s="5">
        <v>1</v>
      </c>
    </row>
    <row r="385" spans="22:28">
      <c r="V385">
        <f t="shared" si="7"/>
        <v>380</v>
      </c>
      <c r="W385" s="5">
        <v>9</v>
      </c>
      <c r="X385" s="5">
        <v>7</v>
      </c>
      <c r="Y385" s="5">
        <v>8</v>
      </c>
      <c r="Z385" s="5">
        <v>8</v>
      </c>
      <c r="AA385" s="5">
        <v>4</v>
      </c>
      <c r="AB385" s="5">
        <v>1</v>
      </c>
    </row>
    <row r="386" spans="22:28">
      <c r="V386">
        <f t="shared" si="7"/>
        <v>381</v>
      </c>
      <c r="W386" s="5">
        <v>9</v>
      </c>
      <c r="X386" s="5">
        <v>7</v>
      </c>
      <c r="Y386" s="5">
        <v>8</v>
      </c>
      <c r="Z386" s="5">
        <v>8</v>
      </c>
      <c r="AA386" s="5">
        <v>4</v>
      </c>
      <c r="AB386" s="5">
        <v>1</v>
      </c>
    </row>
    <row r="387" spans="22:28">
      <c r="V387">
        <f t="shared" si="7"/>
        <v>382</v>
      </c>
      <c r="W387" s="5">
        <v>9</v>
      </c>
      <c r="X387" s="5">
        <v>7</v>
      </c>
      <c r="Y387" s="5">
        <v>8</v>
      </c>
      <c r="Z387" s="5">
        <v>8</v>
      </c>
      <c r="AA387" s="5">
        <v>4</v>
      </c>
      <c r="AB387" s="5">
        <v>1</v>
      </c>
    </row>
    <row r="388" spans="22:28">
      <c r="V388">
        <f t="shared" si="7"/>
        <v>383</v>
      </c>
      <c r="W388" s="5">
        <v>9</v>
      </c>
      <c r="X388" s="5">
        <v>7</v>
      </c>
      <c r="Y388" s="5">
        <v>8</v>
      </c>
      <c r="Z388" s="5">
        <v>8</v>
      </c>
      <c r="AA388" s="5">
        <v>4</v>
      </c>
      <c r="AB388" s="5">
        <v>1</v>
      </c>
    </row>
    <row r="389" spans="22:28">
      <c r="V389">
        <f t="shared" si="7"/>
        <v>384</v>
      </c>
      <c r="W389" s="5">
        <v>9</v>
      </c>
      <c r="X389" s="5">
        <v>7</v>
      </c>
      <c r="Y389" s="5">
        <v>8</v>
      </c>
      <c r="Z389" s="5">
        <v>8</v>
      </c>
      <c r="AA389" s="5">
        <v>4</v>
      </c>
      <c r="AB389" s="5">
        <v>1</v>
      </c>
    </row>
    <row r="390" spans="22:28">
      <c r="V390">
        <f t="shared" si="7"/>
        <v>385</v>
      </c>
      <c r="W390" s="5">
        <v>9</v>
      </c>
      <c r="X390" s="5">
        <v>7</v>
      </c>
      <c r="Y390" s="5">
        <v>8</v>
      </c>
      <c r="Z390" s="5">
        <v>8</v>
      </c>
      <c r="AA390" s="5">
        <v>4</v>
      </c>
      <c r="AB390" s="5">
        <v>1</v>
      </c>
    </row>
    <row r="391" spans="22:28">
      <c r="V391">
        <f t="shared" si="7"/>
        <v>386</v>
      </c>
      <c r="W391" s="5">
        <v>9</v>
      </c>
      <c r="X391" s="5">
        <v>7</v>
      </c>
      <c r="Y391" s="5">
        <v>8</v>
      </c>
      <c r="Z391" s="5">
        <v>8</v>
      </c>
      <c r="AA391" s="5">
        <v>4</v>
      </c>
      <c r="AB391" s="5">
        <v>1</v>
      </c>
    </row>
    <row r="392" spans="22:28">
      <c r="V392">
        <f t="shared" ref="V392:V455" si="8">V391+1</f>
        <v>387</v>
      </c>
      <c r="W392" s="5">
        <v>9</v>
      </c>
      <c r="X392" s="5">
        <v>7</v>
      </c>
      <c r="Y392" s="5">
        <v>8</v>
      </c>
      <c r="Z392" s="5">
        <v>8</v>
      </c>
      <c r="AA392" s="5">
        <v>4</v>
      </c>
      <c r="AB392" s="5">
        <v>1</v>
      </c>
    </row>
    <row r="393" spans="22:28">
      <c r="V393">
        <f t="shared" si="8"/>
        <v>388</v>
      </c>
      <c r="W393" s="5">
        <v>9</v>
      </c>
      <c r="X393" s="5">
        <v>7</v>
      </c>
      <c r="Y393" s="5">
        <v>8</v>
      </c>
      <c r="Z393" s="5">
        <v>8</v>
      </c>
      <c r="AA393" s="5">
        <v>4</v>
      </c>
      <c r="AB393" s="5">
        <v>1</v>
      </c>
    </row>
    <row r="394" spans="22:28">
      <c r="V394">
        <f t="shared" si="8"/>
        <v>389</v>
      </c>
      <c r="W394" s="5">
        <v>9</v>
      </c>
      <c r="X394" s="5">
        <v>7</v>
      </c>
      <c r="Y394" s="5">
        <v>8</v>
      </c>
      <c r="Z394" s="5">
        <v>8</v>
      </c>
      <c r="AA394" s="5">
        <v>4</v>
      </c>
      <c r="AB394" s="5">
        <v>1</v>
      </c>
    </row>
    <row r="395" spans="22:28">
      <c r="V395">
        <f t="shared" si="8"/>
        <v>390</v>
      </c>
      <c r="W395" s="5">
        <v>9</v>
      </c>
      <c r="X395" s="5">
        <v>7</v>
      </c>
      <c r="Y395" s="5">
        <v>8</v>
      </c>
      <c r="Z395" s="5">
        <v>8</v>
      </c>
      <c r="AA395" s="5">
        <v>4</v>
      </c>
      <c r="AB395" s="5">
        <v>1</v>
      </c>
    </row>
    <row r="396" spans="22:28">
      <c r="V396">
        <f t="shared" si="8"/>
        <v>391</v>
      </c>
      <c r="W396" s="5">
        <v>9</v>
      </c>
      <c r="X396" s="5">
        <v>7</v>
      </c>
      <c r="Y396" s="5">
        <v>8</v>
      </c>
      <c r="Z396" s="5">
        <v>8</v>
      </c>
      <c r="AA396" s="5">
        <v>4</v>
      </c>
      <c r="AB396" s="5">
        <v>1</v>
      </c>
    </row>
    <row r="397" spans="22:28">
      <c r="V397">
        <f t="shared" si="8"/>
        <v>392</v>
      </c>
      <c r="W397" s="5">
        <v>9</v>
      </c>
      <c r="X397" s="5">
        <v>7</v>
      </c>
      <c r="Y397" s="5">
        <v>8</v>
      </c>
      <c r="Z397" s="5">
        <v>8</v>
      </c>
      <c r="AA397" s="5">
        <v>4</v>
      </c>
      <c r="AB397" s="5">
        <v>1</v>
      </c>
    </row>
    <row r="398" spans="22:28">
      <c r="V398">
        <f t="shared" si="8"/>
        <v>393</v>
      </c>
      <c r="W398" s="5">
        <v>9</v>
      </c>
      <c r="X398" s="5">
        <v>7</v>
      </c>
      <c r="Y398" s="5">
        <v>8</v>
      </c>
      <c r="Z398" s="5">
        <v>8</v>
      </c>
      <c r="AA398" s="5">
        <v>4</v>
      </c>
      <c r="AB398" s="5">
        <v>1</v>
      </c>
    </row>
    <row r="399" spans="22:28">
      <c r="V399">
        <f t="shared" si="8"/>
        <v>394</v>
      </c>
      <c r="W399" s="5">
        <v>9</v>
      </c>
      <c r="X399" s="5">
        <v>7</v>
      </c>
      <c r="Y399" s="5">
        <v>8</v>
      </c>
      <c r="Z399" s="5">
        <v>8</v>
      </c>
      <c r="AA399" s="5">
        <v>4</v>
      </c>
      <c r="AB399" s="5">
        <v>1</v>
      </c>
    </row>
    <row r="400" spans="22:28">
      <c r="V400">
        <f t="shared" si="8"/>
        <v>395</v>
      </c>
      <c r="W400" s="5">
        <v>9</v>
      </c>
      <c r="X400" s="5">
        <v>7</v>
      </c>
      <c r="Y400" s="5">
        <v>8</v>
      </c>
      <c r="Z400" s="5">
        <v>8</v>
      </c>
      <c r="AA400" s="5">
        <v>4</v>
      </c>
      <c r="AB400" s="5">
        <v>1</v>
      </c>
    </row>
    <row r="401" spans="22:28">
      <c r="V401">
        <f t="shared" si="8"/>
        <v>396</v>
      </c>
      <c r="W401" s="5">
        <v>9</v>
      </c>
      <c r="X401" s="5">
        <v>7</v>
      </c>
      <c r="Y401" s="5">
        <v>8</v>
      </c>
      <c r="Z401" s="5">
        <v>8</v>
      </c>
      <c r="AA401" s="5">
        <v>4</v>
      </c>
      <c r="AB401" s="5">
        <v>1</v>
      </c>
    </row>
    <row r="402" spans="22:28">
      <c r="V402">
        <f t="shared" si="8"/>
        <v>397</v>
      </c>
      <c r="W402" s="5">
        <v>9</v>
      </c>
      <c r="X402" s="5">
        <v>7</v>
      </c>
      <c r="Y402" s="5">
        <v>8</v>
      </c>
      <c r="Z402" s="5">
        <v>8</v>
      </c>
      <c r="AA402" s="5">
        <v>4</v>
      </c>
      <c r="AB402" s="5">
        <v>1</v>
      </c>
    </row>
    <row r="403" spans="22:28">
      <c r="V403">
        <f t="shared" si="8"/>
        <v>398</v>
      </c>
      <c r="W403" s="5">
        <v>9</v>
      </c>
      <c r="X403" s="5">
        <v>7</v>
      </c>
      <c r="Y403" s="5">
        <v>8</v>
      </c>
      <c r="Z403" s="5">
        <v>8</v>
      </c>
      <c r="AA403" s="5">
        <v>4</v>
      </c>
      <c r="AB403" s="5">
        <v>1</v>
      </c>
    </row>
    <row r="404" spans="22:28">
      <c r="V404">
        <f t="shared" si="8"/>
        <v>399</v>
      </c>
      <c r="W404" s="5">
        <v>9</v>
      </c>
      <c r="X404" s="5">
        <v>7</v>
      </c>
      <c r="Y404" s="5">
        <v>8</v>
      </c>
      <c r="Z404" s="5">
        <v>8</v>
      </c>
      <c r="AA404" s="5">
        <v>4</v>
      </c>
      <c r="AB404" s="5">
        <v>1</v>
      </c>
    </row>
    <row r="405" spans="22:28">
      <c r="V405">
        <f t="shared" si="8"/>
        <v>400</v>
      </c>
      <c r="W405" s="5">
        <v>9</v>
      </c>
      <c r="X405" s="5">
        <v>7</v>
      </c>
      <c r="Y405" s="5">
        <v>8</v>
      </c>
      <c r="Z405" s="5">
        <v>8</v>
      </c>
      <c r="AA405" s="5">
        <v>4</v>
      </c>
      <c r="AB405" s="5">
        <v>1</v>
      </c>
    </row>
    <row r="406" spans="22:28">
      <c r="V406">
        <f t="shared" si="8"/>
        <v>401</v>
      </c>
      <c r="W406" s="5">
        <v>10</v>
      </c>
      <c r="X406" s="5">
        <v>7</v>
      </c>
      <c r="Y406" s="5">
        <v>9</v>
      </c>
      <c r="Z406" s="5">
        <v>9</v>
      </c>
      <c r="AA406" s="5">
        <v>5</v>
      </c>
      <c r="AB406" s="5">
        <v>1</v>
      </c>
    </row>
    <row r="407" spans="22:28">
      <c r="V407">
        <f t="shared" si="8"/>
        <v>402</v>
      </c>
      <c r="W407" s="5">
        <v>10</v>
      </c>
      <c r="X407" s="5">
        <v>7</v>
      </c>
      <c r="Y407" s="5">
        <v>9</v>
      </c>
      <c r="Z407" s="5">
        <v>9</v>
      </c>
      <c r="AA407" s="5">
        <v>5</v>
      </c>
      <c r="AB407" s="5">
        <v>1</v>
      </c>
    </row>
    <row r="408" spans="22:28">
      <c r="V408">
        <f t="shared" si="8"/>
        <v>403</v>
      </c>
      <c r="W408" s="5">
        <v>10</v>
      </c>
      <c r="X408" s="5">
        <v>7</v>
      </c>
      <c r="Y408" s="5">
        <v>9</v>
      </c>
      <c r="Z408" s="5">
        <v>9</v>
      </c>
      <c r="AA408" s="5">
        <v>5</v>
      </c>
      <c r="AB408" s="5">
        <v>1</v>
      </c>
    </row>
    <row r="409" spans="22:28">
      <c r="V409">
        <f t="shared" si="8"/>
        <v>404</v>
      </c>
      <c r="W409" s="5">
        <v>10</v>
      </c>
      <c r="X409" s="5">
        <v>7</v>
      </c>
      <c r="Y409" s="5">
        <v>9</v>
      </c>
      <c r="Z409" s="5">
        <v>9</v>
      </c>
      <c r="AA409" s="5">
        <v>5</v>
      </c>
      <c r="AB409" s="5">
        <v>1</v>
      </c>
    </row>
    <row r="410" spans="22:28">
      <c r="V410">
        <f t="shared" si="8"/>
        <v>405</v>
      </c>
      <c r="W410" s="5">
        <v>10</v>
      </c>
      <c r="X410" s="5">
        <v>7</v>
      </c>
      <c r="Y410" s="5">
        <v>9</v>
      </c>
      <c r="Z410" s="5">
        <v>9</v>
      </c>
      <c r="AA410" s="5">
        <v>5</v>
      </c>
      <c r="AB410" s="5">
        <v>1</v>
      </c>
    </row>
    <row r="411" spans="22:28">
      <c r="V411">
        <f t="shared" si="8"/>
        <v>406</v>
      </c>
      <c r="W411" s="5">
        <v>10</v>
      </c>
      <c r="X411" s="5">
        <v>7</v>
      </c>
      <c r="Y411" s="5">
        <v>9</v>
      </c>
      <c r="Z411" s="5">
        <v>9</v>
      </c>
      <c r="AA411" s="5">
        <v>5</v>
      </c>
      <c r="AB411" s="5">
        <v>1</v>
      </c>
    </row>
    <row r="412" spans="22:28">
      <c r="V412">
        <f t="shared" si="8"/>
        <v>407</v>
      </c>
      <c r="W412" s="5">
        <v>10</v>
      </c>
      <c r="X412" s="5">
        <v>7</v>
      </c>
      <c r="Y412" s="5">
        <v>9</v>
      </c>
      <c r="Z412" s="5">
        <v>9</v>
      </c>
      <c r="AA412" s="5">
        <v>5</v>
      </c>
      <c r="AB412" s="5">
        <v>1</v>
      </c>
    </row>
    <row r="413" spans="22:28">
      <c r="V413">
        <f t="shared" si="8"/>
        <v>408</v>
      </c>
      <c r="W413" s="5">
        <v>10</v>
      </c>
      <c r="X413" s="5">
        <v>7</v>
      </c>
      <c r="Y413" s="5">
        <v>9</v>
      </c>
      <c r="Z413" s="5">
        <v>9</v>
      </c>
      <c r="AA413" s="5">
        <v>5</v>
      </c>
      <c r="AB413" s="5">
        <v>1</v>
      </c>
    </row>
    <row r="414" spans="22:28">
      <c r="V414">
        <f t="shared" si="8"/>
        <v>409</v>
      </c>
      <c r="W414" s="5">
        <v>10</v>
      </c>
      <c r="X414" s="5">
        <v>7</v>
      </c>
      <c r="Y414" s="5">
        <v>9</v>
      </c>
      <c r="Z414" s="5">
        <v>9</v>
      </c>
      <c r="AA414" s="5">
        <v>5</v>
      </c>
      <c r="AB414" s="5">
        <v>1</v>
      </c>
    </row>
    <row r="415" spans="22:28">
      <c r="V415">
        <f t="shared" si="8"/>
        <v>410</v>
      </c>
      <c r="W415" s="5">
        <v>10</v>
      </c>
      <c r="X415" s="5">
        <v>7</v>
      </c>
      <c r="Y415" s="5">
        <v>9</v>
      </c>
      <c r="Z415" s="5">
        <v>9</v>
      </c>
      <c r="AA415" s="5">
        <v>5</v>
      </c>
      <c r="AB415" s="5">
        <v>1</v>
      </c>
    </row>
    <row r="416" spans="22:28">
      <c r="V416">
        <f t="shared" si="8"/>
        <v>411</v>
      </c>
      <c r="W416" s="5">
        <v>10</v>
      </c>
      <c r="X416" s="5">
        <v>7</v>
      </c>
      <c r="Y416" s="5">
        <v>9</v>
      </c>
      <c r="Z416" s="5">
        <v>9</v>
      </c>
      <c r="AA416" s="5">
        <v>5</v>
      </c>
      <c r="AB416" s="5">
        <v>1</v>
      </c>
    </row>
    <row r="417" spans="22:28">
      <c r="V417">
        <f t="shared" si="8"/>
        <v>412</v>
      </c>
      <c r="W417" s="5">
        <v>10</v>
      </c>
      <c r="X417" s="5">
        <v>7</v>
      </c>
      <c r="Y417" s="5">
        <v>9</v>
      </c>
      <c r="Z417" s="5">
        <v>9</v>
      </c>
      <c r="AA417" s="5">
        <v>5</v>
      </c>
      <c r="AB417" s="5">
        <v>1</v>
      </c>
    </row>
    <row r="418" spans="22:28">
      <c r="V418">
        <f t="shared" si="8"/>
        <v>413</v>
      </c>
      <c r="W418" s="5">
        <v>10</v>
      </c>
      <c r="X418" s="5">
        <v>7</v>
      </c>
      <c r="Y418" s="5">
        <v>9</v>
      </c>
      <c r="Z418" s="5">
        <v>9</v>
      </c>
      <c r="AA418" s="5">
        <v>5</v>
      </c>
      <c r="AB418" s="5">
        <v>1</v>
      </c>
    </row>
    <row r="419" spans="22:28">
      <c r="V419">
        <f t="shared" si="8"/>
        <v>414</v>
      </c>
      <c r="W419" s="5">
        <v>10</v>
      </c>
      <c r="X419" s="5">
        <v>7</v>
      </c>
      <c r="Y419" s="5">
        <v>9</v>
      </c>
      <c r="Z419" s="5">
        <v>9</v>
      </c>
      <c r="AA419" s="5">
        <v>5</v>
      </c>
      <c r="AB419" s="5">
        <v>1</v>
      </c>
    </row>
    <row r="420" spans="22:28">
      <c r="V420">
        <f t="shared" si="8"/>
        <v>415</v>
      </c>
      <c r="W420" s="5">
        <v>10</v>
      </c>
      <c r="X420" s="5">
        <v>7</v>
      </c>
      <c r="Y420" s="5">
        <v>9</v>
      </c>
      <c r="Z420" s="5">
        <v>9</v>
      </c>
      <c r="AA420" s="5">
        <v>5</v>
      </c>
      <c r="AB420" s="5">
        <v>1</v>
      </c>
    </row>
    <row r="421" spans="22:28">
      <c r="V421">
        <f t="shared" si="8"/>
        <v>416</v>
      </c>
      <c r="W421" s="5">
        <v>10</v>
      </c>
      <c r="X421" s="5">
        <v>7</v>
      </c>
      <c r="Y421" s="5">
        <v>9</v>
      </c>
      <c r="Z421" s="5">
        <v>9</v>
      </c>
      <c r="AA421" s="5">
        <v>5</v>
      </c>
      <c r="AB421" s="5">
        <v>1</v>
      </c>
    </row>
    <row r="422" spans="22:28">
      <c r="V422">
        <f t="shared" si="8"/>
        <v>417</v>
      </c>
      <c r="W422" s="5">
        <v>10</v>
      </c>
      <c r="X422" s="5">
        <v>7</v>
      </c>
      <c r="Y422" s="5">
        <v>9</v>
      </c>
      <c r="Z422" s="5">
        <v>9</v>
      </c>
      <c r="AA422" s="5">
        <v>5</v>
      </c>
      <c r="AB422" s="5">
        <v>1</v>
      </c>
    </row>
    <row r="423" spans="22:28">
      <c r="V423">
        <f t="shared" si="8"/>
        <v>418</v>
      </c>
      <c r="W423" s="5">
        <v>10</v>
      </c>
      <c r="X423" s="5">
        <v>7</v>
      </c>
      <c r="Y423" s="5">
        <v>9</v>
      </c>
      <c r="Z423" s="5">
        <v>9</v>
      </c>
      <c r="AA423" s="5">
        <v>5</v>
      </c>
      <c r="AB423" s="5">
        <v>1</v>
      </c>
    </row>
    <row r="424" spans="22:28">
      <c r="V424">
        <f t="shared" si="8"/>
        <v>419</v>
      </c>
      <c r="W424" s="5">
        <v>10</v>
      </c>
      <c r="X424" s="5">
        <v>7</v>
      </c>
      <c r="Y424" s="5">
        <v>9</v>
      </c>
      <c r="Z424" s="5">
        <v>9</v>
      </c>
      <c r="AA424" s="5">
        <v>5</v>
      </c>
      <c r="AB424" s="5">
        <v>1</v>
      </c>
    </row>
    <row r="425" spans="22:28">
      <c r="V425">
        <f t="shared" si="8"/>
        <v>420</v>
      </c>
      <c r="W425" s="5">
        <v>10</v>
      </c>
      <c r="X425" s="5">
        <v>7</v>
      </c>
      <c r="Y425" s="5">
        <v>9</v>
      </c>
      <c r="Z425" s="5">
        <v>9</v>
      </c>
      <c r="AA425" s="5">
        <v>5</v>
      </c>
      <c r="AB425" s="5">
        <v>1</v>
      </c>
    </row>
    <row r="426" spans="22:28">
      <c r="V426">
        <f t="shared" si="8"/>
        <v>421</v>
      </c>
      <c r="W426" s="5">
        <v>10</v>
      </c>
      <c r="X426" s="5">
        <v>7</v>
      </c>
      <c r="Y426" s="5">
        <v>9</v>
      </c>
      <c r="Z426" s="5">
        <v>9</v>
      </c>
      <c r="AA426" s="5">
        <v>5</v>
      </c>
      <c r="AB426" s="5">
        <v>1</v>
      </c>
    </row>
    <row r="427" spans="22:28">
      <c r="V427">
        <f t="shared" si="8"/>
        <v>422</v>
      </c>
      <c r="W427" s="5">
        <v>10</v>
      </c>
      <c r="X427" s="5">
        <v>7</v>
      </c>
      <c r="Y427" s="5">
        <v>9</v>
      </c>
      <c r="Z427" s="5">
        <v>9</v>
      </c>
      <c r="AA427" s="5">
        <v>5</v>
      </c>
      <c r="AB427" s="5">
        <v>1</v>
      </c>
    </row>
    <row r="428" spans="22:28">
      <c r="V428">
        <f t="shared" si="8"/>
        <v>423</v>
      </c>
      <c r="W428" s="5">
        <v>10</v>
      </c>
      <c r="X428" s="5">
        <v>7</v>
      </c>
      <c r="Y428" s="5">
        <v>9</v>
      </c>
      <c r="Z428" s="5">
        <v>9</v>
      </c>
      <c r="AA428" s="5">
        <v>5</v>
      </c>
      <c r="AB428" s="5">
        <v>1</v>
      </c>
    </row>
    <row r="429" spans="22:28">
      <c r="V429">
        <f t="shared" si="8"/>
        <v>424</v>
      </c>
      <c r="W429" s="5">
        <v>10</v>
      </c>
      <c r="X429" s="5">
        <v>7</v>
      </c>
      <c r="Y429" s="5">
        <v>9</v>
      </c>
      <c r="Z429" s="5">
        <v>9</v>
      </c>
      <c r="AA429" s="5">
        <v>5</v>
      </c>
      <c r="AB429" s="5">
        <v>1</v>
      </c>
    </row>
    <row r="430" spans="22:28">
      <c r="V430">
        <f t="shared" si="8"/>
        <v>425</v>
      </c>
      <c r="W430" s="5">
        <v>10</v>
      </c>
      <c r="X430" s="5">
        <v>7</v>
      </c>
      <c r="Y430" s="5">
        <v>9</v>
      </c>
      <c r="Z430" s="5">
        <v>9</v>
      </c>
      <c r="AA430" s="5">
        <v>5</v>
      </c>
      <c r="AB430" s="5">
        <v>1</v>
      </c>
    </row>
    <row r="431" spans="22:28">
      <c r="V431">
        <f t="shared" si="8"/>
        <v>426</v>
      </c>
      <c r="W431" s="5">
        <v>10</v>
      </c>
      <c r="X431" s="5">
        <v>7</v>
      </c>
      <c r="Y431" s="5">
        <v>9</v>
      </c>
      <c r="Z431" s="5">
        <v>9</v>
      </c>
      <c r="AA431" s="5">
        <v>5</v>
      </c>
      <c r="AB431" s="5">
        <v>1</v>
      </c>
    </row>
    <row r="432" spans="22:28">
      <c r="V432">
        <f t="shared" si="8"/>
        <v>427</v>
      </c>
      <c r="W432" s="5">
        <v>10</v>
      </c>
      <c r="X432" s="5">
        <v>7</v>
      </c>
      <c r="Y432" s="5">
        <v>9</v>
      </c>
      <c r="Z432" s="5">
        <v>9</v>
      </c>
      <c r="AA432" s="5">
        <v>5</v>
      </c>
      <c r="AB432" s="5">
        <v>1</v>
      </c>
    </row>
    <row r="433" spans="22:28">
      <c r="V433">
        <f t="shared" si="8"/>
        <v>428</v>
      </c>
      <c r="W433" s="5">
        <v>10</v>
      </c>
      <c r="X433" s="5">
        <v>7</v>
      </c>
      <c r="Y433" s="5">
        <v>9</v>
      </c>
      <c r="Z433" s="5">
        <v>9</v>
      </c>
      <c r="AA433" s="5">
        <v>5</v>
      </c>
      <c r="AB433" s="5">
        <v>1</v>
      </c>
    </row>
    <row r="434" spans="22:28">
      <c r="V434">
        <f t="shared" si="8"/>
        <v>429</v>
      </c>
      <c r="W434" s="5">
        <v>10</v>
      </c>
      <c r="X434" s="5">
        <v>7</v>
      </c>
      <c r="Y434" s="5">
        <v>9</v>
      </c>
      <c r="Z434" s="5">
        <v>9</v>
      </c>
      <c r="AA434" s="5">
        <v>5</v>
      </c>
      <c r="AB434" s="5">
        <v>1</v>
      </c>
    </row>
    <row r="435" spans="22:28">
      <c r="V435">
        <f t="shared" si="8"/>
        <v>430</v>
      </c>
      <c r="W435" s="5">
        <v>10</v>
      </c>
      <c r="X435" s="5">
        <v>7</v>
      </c>
      <c r="Y435" s="5">
        <v>9</v>
      </c>
      <c r="Z435" s="5">
        <v>9</v>
      </c>
      <c r="AA435" s="5">
        <v>5</v>
      </c>
      <c r="AB435" s="5">
        <v>1</v>
      </c>
    </row>
    <row r="436" spans="22:28">
      <c r="V436">
        <f t="shared" si="8"/>
        <v>431</v>
      </c>
      <c r="W436" s="5">
        <v>10</v>
      </c>
      <c r="X436" s="5">
        <v>7</v>
      </c>
      <c r="Y436" s="5">
        <v>9</v>
      </c>
      <c r="Z436" s="5">
        <v>9</v>
      </c>
      <c r="AA436" s="5">
        <v>5</v>
      </c>
      <c r="AB436" s="5">
        <v>1</v>
      </c>
    </row>
    <row r="437" spans="22:28">
      <c r="V437">
        <f t="shared" si="8"/>
        <v>432</v>
      </c>
      <c r="W437" s="5">
        <v>10</v>
      </c>
      <c r="X437" s="5">
        <v>7</v>
      </c>
      <c r="Y437" s="5">
        <v>9</v>
      </c>
      <c r="Z437" s="5">
        <v>9</v>
      </c>
      <c r="AA437" s="5">
        <v>5</v>
      </c>
      <c r="AB437" s="5">
        <v>1</v>
      </c>
    </row>
    <row r="438" spans="22:28">
      <c r="V438">
        <f t="shared" si="8"/>
        <v>433</v>
      </c>
      <c r="W438" s="5">
        <v>10</v>
      </c>
      <c r="X438" s="5">
        <v>7</v>
      </c>
      <c r="Y438" s="5">
        <v>9</v>
      </c>
      <c r="Z438" s="5">
        <v>9</v>
      </c>
      <c r="AA438" s="5">
        <v>5</v>
      </c>
      <c r="AB438" s="5">
        <v>1</v>
      </c>
    </row>
    <row r="439" spans="22:28">
      <c r="V439">
        <f t="shared" si="8"/>
        <v>434</v>
      </c>
      <c r="W439" s="5">
        <v>10</v>
      </c>
      <c r="X439" s="5">
        <v>7</v>
      </c>
      <c r="Y439" s="5">
        <v>9</v>
      </c>
      <c r="Z439" s="5">
        <v>9</v>
      </c>
      <c r="AA439" s="5">
        <v>5</v>
      </c>
      <c r="AB439" s="5">
        <v>1</v>
      </c>
    </row>
    <row r="440" spans="22:28">
      <c r="V440">
        <f t="shared" si="8"/>
        <v>435</v>
      </c>
      <c r="W440" s="5">
        <v>10</v>
      </c>
      <c r="X440" s="5">
        <v>7</v>
      </c>
      <c r="Y440" s="5">
        <v>9</v>
      </c>
      <c r="Z440" s="5">
        <v>9</v>
      </c>
      <c r="AA440" s="5">
        <v>5</v>
      </c>
      <c r="AB440" s="5">
        <v>1</v>
      </c>
    </row>
    <row r="441" spans="22:28">
      <c r="V441">
        <f t="shared" si="8"/>
        <v>436</v>
      </c>
      <c r="W441" s="5">
        <v>10</v>
      </c>
      <c r="X441" s="5">
        <v>7</v>
      </c>
      <c r="Y441" s="5">
        <v>9</v>
      </c>
      <c r="Z441" s="5">
        <v>9</v>
      </c>
      <c r="AA441" s="5">
        <v>5</v>
      </c>
      <c r="AB441" s="5">
        <v>1</v>
      </c>
    </row>
    <row r="442" spans="22:28">
      <c r="V442">
        <f t="shared" si="8"/>
        <v>437</v>
      </c>
      <c r="W442" s="5">
        <v>10</v>
      </c>
      <c r="X442" s="5">
        <v>7</v>
      </c>
      <c r="Y442" s="5">
        <v>9</v>
      </c>
      <c r="Z442" s="5">
        <v>9</v>
      </c>
      <c r="AA442" s="5">
        <v>5</v>
      </c>
      <c r="AB442" s="5">
        <v>1</v>
      </c>
    </row>
    <row r="443" spans="22:28">
      <c r="V443">
        <f t="shared" si="8"/>
        <v>438</v>
      </c>
      <c r="W443" s="5">
        <v>10</v>
      </c>
      <c r="X443" s="5">
        <v>7</v>
      </c>
      <c r="Y443" s="5">
        <v>9</v>
      </c>
      <c r="Z443" s="5">
        <v>9</v>
      </c>
      <c r="AA443" s="5">
        <v>5</v>
      </c>
      <c r="AB443" s="5">
        <v>1</v>
      </c>
    </row>
    <row r="444" spans="22:28">
      <c r="V444">
        <f t="shared" si="8"/>
        <v>439</v>
      </c>
      <c r="W444" s="5">
        <v>10</v>
      </c>
      <c r="X444" s="5">
        <v>7</v>
      </c>
      <c r="Y444" s="5">
        <v>9</v>
      </c>
      <c r="Z444" s="5">
        <v>9</v>
      </c>
      <c r="AA444" s="5">
        <v>5</v>
      </c>
      <c r="AB444" s="5">
        <v>1</v>
      </c>
    </row>
    <row r="445" spans="22:28">
      <c r="V445">
        <f t="shared" si="8"/>
        <v>440</v>
      </c>
      <c r="W445" s="5">
        <v>10</v>
      </c>
      <c r="X445" s="5">
        <v>7</v>
      </c>
      <c r="Y445" s="5">
        <v>9</v>
      </c>
      <c r="Z445" s="5">
        <v>9</v>
      </c>
      <c r="AA445" s="5">
        <v>5</v>
      </c>
      <c r="AB445" s="5">
        <v>1</v>
      </c>
    </row>
    <row r="446" spans="22:28">
      <c r="V446">
        <f t="shared" si="8"/>
        <v>441</v>
      </c>
      <c r="W446" s="5">
        <v>10</v>
      </c>
      <c r="X446" s="5">
        <v>7</v>
      </c>
      <c r="Y446" s="5">
        <v>9</v>
      </c>
      <c r="Z446" s="5">
        <v>9</v>
      </c>
      <c r="AA446" s="5">
        <v>5</v>
      </c>
      <c r="AB446" s="5">
        <v>1</v>
      </c>
    </row>
    <row r="447" spans="22:28">
      <c r="V447">
        <f t="shared" si="8"/>
        <v>442</v>
      </c>
      <c r="W447" s="5">
        <v>10</v>
      </c>
      <c r="X447" s="5">
        <v>7</v>
      </c>
      <c r="Y447" s="5">
        <v>9</v>
      </c>
      <c r="Z447" s="5">
        <v>9</v>
      </c>
      <c r="AA447" s="5">
        <v>5</v>
      </c>
      <c r="AB447" s="5">
        <v>1</v>
      </c>
    </row>
    <row r="448" spans="22:28">
      <c r="V448">
        <f t="shared" si="8"/>
        <v>443</v>
      </c>
      <c r="W448" s="5">
        <v>10</v>
      </c>
      <c r="X448" s="5">
        <v>7</v>
      </c>
      <c r="Y448" s="5">
        <v>9</v>
      </c>
      <c r="Z448" s="5">
        <v>9</v>
      </c>
      <c r="AA448" s="5">
        <v>5</v>
      </c>
      <c r="AB448" s="5">
        <v>1</v>
      </c>
    </row>
    <row r="449" spans="22:28">
      <c r="V449">
        <f t="shared" si="8"/>
        <v>444</v>
      </c>
      <c r="W449" s="5">
        <v>10</v>
      </c>
      <c r="X449" s="5">
        <v>7</v>
      </c>
      <c r="Y449" s="5">
        <v>9</v>
      </c>
      <c r="Z449" s="5">
        <v>9</v>
      </c>
      <c r="AA449" s="5">
        <v>5</v>
      </c>
      <c r="AB449" s="5">
        <v>1</v>
      </c>
    </row>
    <row r="450" spans="22:28">
      <c r="V450">
        <f t="shared" si="8"/>
        <v>445</v>
      </c>
      <c r="W450" s="5">
        <v>10</v>
      </c>
      <c r="X450" s="5">
        <v>7</v>
      </c>
      <c r="Y450" s="5">
        <v>9</v>
      </c>
      <c r="Z450" s="5">
        <v>9</v>
      </c>
      <c r="AA450" s="5">
        <v>5</v>
      </c>
      <c r="AB450" s="5">
        <v>1</v>
      </c>
    </row>
    <row r="451" spans="22:28">
      <c r="V451">
        <f t="shared" si="8"/>
        <v>446</v>
      </c>
      <c r="W451" s="5">
        <v>10</v>
      </c>
      <c r="X451" s="5">
        <v>7</v>
      </c>
      <c r="Y451" s="5">
        <v>9</v>
      </c>
      <c r="Z451" s="5">
        <v>9</v>
      </c>
      <c r="AA451" s="5">
        <v>5</v>
      </c>
      <c r="AB451" s="5">
        <v>1</v>
      </c>
    </row>
    <row r="452" spans="22:28">
      <c r="V452">
        <f t="shared" si="8"/>
        <v>447</v>
      </c>
      <c r="W452" s="5">
        <v>10</v>
      </c>
      <c r="X452" s="5">
        <v>7</v>
      </c>
      <c r="Y452" s="5">
        <v>9</v>
      </c>
      <c r="Z452" s="5">
        <v>9</v>
      </c>
      <c r="AA452" s="5">
        <v>5</v>
      </c>
      <c r="AB452" s="5">
        <v>1</v>
      </c>
    </row>
    <row r="453" spans="22:28">
      <c r="V453">
        <f t="shared" si="8"/>
        <v>448</v>
      </c>
      <c r="W453" s="5">
        <v>10</v>
      </c>
      <c r="X453" s="5">
        <v>7</v>
      </c>
      <c r="Y453" s="5">
        <v>9</v>
      </c>
      <c r="Z453" s="5">
        <v>9</v>
      </c>
      <c r="AA453" s="5">
        <v>5</v>
      </c>
      <c r="AB453" s="5">
        <v>1</v>
      </c>
    </row>
    <row r="454" spans="22:28">
      <c r="V454">
        <f t="shared" si="8"/>
        <v>449</v>
      </c>
      <c r="W454" s="5">
        <v>10</v>
      </c>
      <c r="X454" s="5">
        <v>7</v>
      </c>
      <c r="Y454" s="5">
        <v>9</v>
      </c>
      <c r="Z454" s="5">
        <v>9</v>
      </c>
      <c r="AA454" s="5">
        <v>5</v>
      </c>
      <c r="AB454" s="5">
        <v>1</v>
      </c>
    </row>
    <row r="455" spans="22:28">
      <c r="V455">
        <f t="shared" si="8"/>
        <v>450</v>
      </c>
      <c r="W455" s="5">
        <v>10</v>
      </c>
      <c r="X455" s="5">
        <v>7</v>
      </c>
      <c r="Y455" s="5">
        <v>9</v>
      </c>
      <c r="Z455" s="5">
        <v>9</v>
      </c>
      <c r="AA455" s="5">
        <v>5</v>
      </c>
      <c r="AB455" s="5">
        <v>1</v>
      </c>
    </row>
    <row r="456" spans="22:28">
      <c r="V456">
        <f t="shared" ref="V456:V519" si="9">V455+1</f>
        <v>451</v>
      </c>
      <c r="W456" s="5">
        <v>11</v>
      </c>
      <c r="X456" s="5">
        <v>8</v>
      </c>
      <c r="Y456" s="5">
        <v>10</v>
      </c>
      <c r="Z456" s="5">
        <v>10</v>
      </c>
      <c r="AA456" s="5">
        <v>5</v>
      </c>
      <c r="AB456" s="5">
        <v>1</v>
      </c>
    </row>
    <row r="457" spans="22:28">
      <c r="V457">
        <f t="shared" si="9"/>
        <v>452</v>
      </c>
      <c r="W457" s="5">
        <v>11</v>
      </c>
      <c r="X457" s="5">
        <v>8</v>
      </c>
      <c r="Y457" s="5">
        <v>10</v>
      </c>
      <c r="Z457" s="5">
        <v>10</v>
      </c>
      <c r="AA457" s="5">
        <v>5</v>
      </c>
      <c r="AB457" s="5">
        <v>1</v>
      </c>
    </row>
    <row r="458" spans="22:28">
      <c r="V458">
        <f t="shared" si="9"/>
        <v>453</v>
      </c>
      <c r="W458" s="5">
        <v>11</v>
      </c>
      <c r="X458" s="5">
        <v>8</v>
      </c>
      <c r="Y458" s="5">
        <v>10</v>
      </c>
      <c r="Z458" s="5">
        <v>10</v>
      </c>
      <c r="AA458" s="5">
        <v>5</v>
      </c>
      <c r="AB458" s="5">
        <v>1</v>
      </c>
    </row>
    <row r="459" spans="22:28">
      <c r="V459">
        <f t="shared" si="9"/>
        <v>454</v>
      </c>
      <c r="W459" s="5">
        <v>11</v>
      </c>
      <c r="X459" s="5">
        <v>8</v>
      </c>
      <c r="Y459" s="5">
        <v>10</v>
      </c>
      <c r="Z459" s="5">
        <v>10</v>
      </c>
      <c r="AA459" s="5">
        <v>5</v>
      </c>
      <c r="AB459" s="5">
        <v>1</v>
      </c>
    </row>
    <row r="460" spans="22:28">
      <c r="V460">
        <f t="shared" si="9"/>
        <v>455</v>
      </c>
      <c r="W460" s="5">
        <v>11</v>
      </c>
      <c r="X460" s="5">
        <v>8</v>
      </c>
      <c r="Y460" s="5">
        <v>10</v>
      </c>
      <c r="Z460" s="5">
        <v>10</v>
      </c>
      <c r="AA460" s="5">
        <v>5</v>
      </c>
      <c r="AB460" s="5">
        <v>1</v>
      </c>
    </row>
    <row r="461" spans="22:28">
      <c r="V461">
        <f t="shared" si="9"/>
        <v>456</v>
      </c>
      <c r="W461" s="5">
        <v>11</v>
      </c>
      <c r="X461" s="5">
        <v>8</v>
      </c>
      <c r="Y461" s="5">
        <v>10</v>
      </c>
      <c r="Z461" s="5">
        <v>10</v>
      </c>
      <c r="AA461" s="5">
        <v>5</v>
      </c>
      <c r="AB461" s="5">
        <v>1</v>
      </c>
    </row>
    <row r="462" spans="22:28">
      <c r="V462">
        <f t="shared" si="9"/>
        <v>457</v>
      </c>
      <c r="W462" s="5">
        <v>11</v>
      </c>
      <c r="X462" s="5">
        <v>8</v>
      </c>
      <c r="Y462" s="5">
        <v>10</v>
      </c>
      <c r="Z462" s="5">
        <v>10</v>
      </c>
      <c r="AA462" s="5">
        <v>5</v>
      </c>
      <c r="AB462" s="5">
        <v>1</v>
      </c>
    </row>
    <row r="463" spans="22:28">
      <c r="V463">
        <f t="shared" si="9"/>
        <v>458</v>
      </c>
      <c r="W463" s="5">
        <v>11</v>
      </c>
      <c r="X463" s="5">
        <v>8</v>
      </c>
      <c r="Y463" s="5">
        <v>10</v>
      </c>
      <c r="Z463" s="5">
        <v>10</v>
      </c>
      <c r="AA463" s="5">
        <v>5</v>
      </c>
      <c r="AB463" s="5">
        <v>1</v>
      </c>
    </row>
    <row r="464" spans="22:28">
      <c r="V464">
        <f t="shared" si="9"/>
        <v>459</v>
      </c>
      <c r="W464" s="5">
        <v>11</v>
      </c>
      <c r="X464" s="5">
        <v>8</v>
      </c>
      <c r="Y464" s="5">
        <v>10</v>
      </c>
      <c r="Z464" s="5">
        <v>10</v>
      </c>
      <c r="AA464" s="5">
        <v>5</v>
      </c>
      <c r="AB464" s="5">
        <v>1</v>
      </c>
    </row>
    <row r="465" spans="22:28">
      <c r="V465">
        <f t="shared" si="9"/>
        <v>460</v>
      </c>
      <c r="W465" s="5">
        <v>11</v>
      </c>
      <c r="X465" s="5">
        <v>8</v>
      </c>
      <c r="Y465" s="5">
        <v>10</v>
      </c>
      <c r="Z465" s="5">
        <v>10</v>
      </c>
      <c r="AA465" s="5">
        <v>5</v>
      </c>
      <c r="AB465" s="5">
        <v>1</v>
      </c>
    </row>
    <row r="466" spans="22:28">
      <c r="V466">
        <f t="shared" si="9"/>
        <v>461</v>
      </c>
      <c r="W466" s="5">
        <v>11</v>
      </c>
      <c r="X466" s="5">
        <v>8</v>
      </c>
      <c r="Y466" s="5">
        <v>10</v>
      </c>
      <c r="Z466" s="5">
        <v>10</v>
      </c>
      <c r="AA466" s="5">
        <v>5</v>
      </c>
      <c r="AB466" s="5">
        <v>1</v>
      </c>
    </row>
    <row r="467" spans="22:28">
      <c r="V467">
        <f t="shared" si="9"/>
        <v>462</v>
      </c>
      <c r="W467" s="5">
        <v>11</v>
      </c>
      <c r="X467" s="5">
        <v>8</v>
      </c>
      <c r="Y467" s="5">
        <v>10</v>
      </c>
      <c r="Z467" s="5">
        <v>10</v>
      </c>
      <c r="AA467" s="5">
        <v>5</v>
      </c>
      <c r="AB467" s="5">
        <v>1</v>
      </c>
    </row>
    <row r="468" spans="22:28">
      <c r="V468">
        <f t="shared" si="9"/>
        <v>463</v>
      </c>
      <c r="W468" s="5">
        <v>11</v>
      </c>
      <c r="X468" s="5">
        <v>8</v>
      </c>
      <c r="Y468" s="5">
        <v>10</v>
      </c>
      <c r="Z468" s="5">
        <v>10</v>
      </c>
      <c r="AA468" s="5">
        <v>5</v>
      </c>
      <c r="AB468" s="5">
        <v>1</v>
      </c>
    </row>
    <row r="469" spans="22:28">
      <c r="V469">
        <f t="shared" si="9"/>
        <v>464</v>
      </c>
      <c r="W469" s="5">
        <v>11</v>
      </c>
      <c r="X469" s="5">
        <v>8</v>
      </c>
      <c r="Y469" s="5">
        <v>10</v>
      </c>
      <c r="Z469" s="5">
        <v>10</v>
      </c>
      <c r="AA469" s="5">
        <v>5</v>
      </c>
      <c r="AB469" s="5">
        <v>1</v>
      </c>
    </row>
    <row r="470" spans="22:28">
      <c r="V470">
        <f t="shared" si="9"/>
        <v>465</v>
      </c>
      <c r="W470" s="5">
        <v>11</v>
      </c>
      <c r="X470" s="5">
        <v>8</v>
      </c>
      <c r="Y470" s="5">
        <v>10</v>
      </c>
      <c r="Z470" s="5">
        <v>10</v>
      </c>
      <c r="AA470" s="5">
        <v>5</v>
      </c>
      <c r="AB470" s="5">
        <v>1</v>
      </c>
    </row>
    <row r="471" spans="22:28">
      <c r="V471">
        <f t="shared" si="9"/>
        <v>466</v>
      </c>
      <c r="W471" s="5">
        <v>11</v>
      </c>
      <c r="X471" s="5">
        <v>8</v>
      </c>
      <c r="Y471" s="5">
        <v>10</v>
      </c>
      <c r="Z471" s="5">
        <v>10</v>
      </c>
      <c r="AA471" s="5">
        <v>5</v>
      </c>
      <c r="AB471" s="5">
        <v>1</v>
      </c>
    </row>
    <row r="472" spans="22:28">
      <c r="V472">
        <f t="shared" si="9"/>
        <v>467</v>
      </c>
      <c r="W472" s="5">
        <v>11</v>
      </c>
      <c r="X472" s="5">
        <v>8</v>
      </c>
      <c r="Y472" s="5">
        <v>10</v>
      </c>
      <c r="Z472" s="5">
        <v>10</v>
      </c>
      <c r="AA472" s="5">
        <v>5</v>
      </c>
      <c r="AB472" s="5">
        <v>1</v>
      </c>
    </row>
    <row r="473" spans="22:28">
      <c r="V473">
        <f t="shared" si="9"/>
        <v>468</v>
      </c>
      <c r="W473" s="5">
        <v>11</v>
      </c>
      <c r="X473" s="5">
        <v>8</v>
      </c>
      <c r="Y473" s="5">
        <v>10</v>
      </c>
      <c r="Z473" s="5">
        <v>10</v>
      </c>
      <c r="AA473" s="5">
        <v>5</v>
      </c>
      <c r="AB473" s="5">
        <v>1</v>
      </c>
    </row>
    <row r="474" spans="22:28">
      <c r="V474">
        <f t="shared" si="9"/>
        <v>469</v>
      </c>
      <c r="W474" s="5">
        <v>11</v>
      </c>
      <c r="X474" s="5">
        <v>8</v>
      </c>
      <c r="Y474" s="5">
        <v>10</v>
      </c>
      <c r="Z474" s="5">
        <v>10</v>
      </c>
      <c r="AA474" s="5">
        <v>5</v>
      </c>
      <c r="AB474" s="5">
        <v>1</v>
      </c>
    </row>
    <row r="475" spans="22:28">
      <c r="V475">
        <f t="shared" si="9"/>
        <v>470</v>
      </c>
      <c r="W475" s="5">
        <v>11</v>
      </c>
      <c r="X475" s="5">
        <v>8</v>
      </c>
      <c r="Y475" s="5">
        <v>10</v>
      </c>
      <c r="Z475" s="5">
        <v>10</v>
      </c>
      <c r="AA475" s="5">
        <v>5</v>
      </c>
      <c r="AB475" s="5">
        <v>1</v>
      </c>
    </row>
    <row r="476" spans="22:28">
      <c r="V476">
        <f t="shared" si="9"/>
        <v>471</v>
      </c>
      <c r="W476" s="5">
        <v>11</v>
      </c>
      <c r="X476" s="5">
        <v>8</v>
      </c>
      <c r="Y476" s="5">
        <v>10</v>
      </c>
      <c r="Z476" s="5">
        <v>10</v>
      </c>
      <c r="AA476" s="5">
        <v>5</v>
      </c>
      <c r="AB476" s="5">
        <v>1</v>
      </c>
    </row>
    <row r="477" spans="22:28">
      <c r="V477">
        <f t="shared" si="9"/>
        <v>472</v>
      </c>
      <c r="W477" s="5">
        <v>11</v>
      </c>
      <c r="X477" s="5">
        <v>8</v>
      </c>
      <c r="Y477" s="5">
        <v>10</v>
      </c>
      <c r="Z477" s="5">
        <v>10</v>
      </c>
      <c r="AA477" s="5">
        <v>5</v>
      </c>
      <c r="AB477" s="5">
        <v>1</v>
      </c>
    </row>
    <row r="478" spans="22:28">
      <c r="V478">
        <f t="shared" si="9"/>
        <v>473</v>
      </c>
      <c r="W478" s="5">
        <v>11</v>
      </c>
      <c r="X478" s="5">
        <v>8</v>
      </c>
      <c r="Y478" s="5">
        <v>10</v>
      </c>
      <c r="Z478" s="5">
        <v>10</v>
      </c>
      <c r="AA478" s="5">
        <v>5</v>
      </c>
      <c r="AB478" s="5">
        <v>1</v>
      </c>
    </row>
    <row r="479" spans="22:28">
      <c r="V479">
        <f t="shared" si="9"/>
        <v>474</v>
      </c>
      <c r="W479" s="5">
        <v>11</v>
      </c>
      <c r="X479" s="5">
        <v>8</v>
      </c>
      <c r="Y479" s="5">
        <v>10</v>
      </c>
      <c r="Z479" s="5">
        <v>10</v>
      </c>
      <c r="AA479" s="5">
        <v>5</v>
      </c>
      <c r="AB479" s="5">
        <v>1</v>
      </c>
    </row>
    <row r="480" spans="22:28">
      <c r="V480">
        <f t="shared" si="9"/>
        <v>475</v>
      </c>
      <c r="W480" s="5">
        <v>11</v>
      </c>
      <c r="X480" s="5">
        <v>8</v>
      </c>
      <c r="Y480" s="5">
        <v>10</v>
      </c>
      <c r="Z480" s="5">
        <v>10</v>
      </c>
      <c r="AA480" s="5">
        <v>5</v>
      </c>
      <c r="AB480" s="5">
        <v>1</v>
      </c>
    </row>
    <row r="481" spans="22:28">
      <c r="V481">
        <f t="shared" si="9"/>
        <v>476</v>
      </c>
      <c r="W481" s="5">
        <v>11</v>
      </c>
      <c r="X481" s="5">
        <v>8</v>
      </c>
      <c r="Y481" s="5">
        <v>10</v>
      </c>
      <c r="Z481" s="5">
        <v>10</v>
      </c>
      <c r="AA481" s="5">
        <v>5</v>
      </c>
      <c r="AB481" s="5">
        <v>1</v>
      </c>
    </row>
    <row r="482" spans="22:28">
      <c r="V482">
        <f t="shared" si="9"/>
        <v>477</v>
      </c>
      <c r="W482" s="5">
        <v>11</v>
      </c>
      <c r="X482" s="5">
        <v>8</v>
      </c>
      <c r="Y482" s="5">
        <v>10</v>
      </c>
      <c r="Z482" s="5">
        <v>10</v>
      </c>
      <c r="AA482" s="5">
        <v>5</v>
      </c>
      <c r="AB482" s="5">
        <v>1</v>
      </c>
    </row>
    <row r="483" spans="22:28">
      <c r="V483">
        <f t="shared" si="9"/>
        <v>478</v>
      </c>
      <c r="W483" s="5">
        <v>11</v>
      </c>
      <c r="X483" s="5">
        <v>8</v>
      </c>
      <c r="Y483" s="5">
        <v>10</v>
      </c>
      <c r="Z483" s="5">
        <v>10</v>
      </c>
      <c r="AA483" s="5">
        <v>5</v>
      </c>
      <c r="AB483" s="5">
        <v>1</v>
      </c>
    </row>
    <row r="484" spans="22:28">
      <c r="V484">
        <f t="shared" si="9"/>
        <v>479</v>
      </c>
      <c r="W484" s="5">
        <v>11</v>
      </c>
      <c r="X484" s="5">
        <v>8</v>
      </c>
      <c r="Y484" s="5">
        <v>10</v>
      </c>
      <c r="Z484" s="5">
        <v>10</v>
      </c>
      <c r="AA484" s="5">
        <v>5</v>
      </c>
      <c r="AB484" s="5">
        <v>1</v>
      </c>
    </row>
    <row r="485" spans="22:28">
      <c r="V485">
        <f t="shared" si="9"/>
        <v>480</v>
      </c>
      <c r="W485" s="5">
        <v>11</v>
      </c>
      <c r="X485" s="5">
        <v>8</v>
      </c>
      <c r="Y485" s="5">
        <v>10</v>
      </c>
      <c r="Z485" s="5">
        <v>10</v>
      </c>
      <c r="AA485" s="5">
        <v>5</v>
      </c>
      <c r="AB485" s="5">
        <v>1</v>
      </c>
    </row>
    <row r="486" spans="22:28">
      <c r="V486">
        <f t="shared" si="9"/>
        <v>481</v>
      </c>
      <c r="W486" s="5">
        <v>11</v>
      </c>
      <c r="X486" s="5">
        <v>8</v>
      </c>
      <c r="Y486" s="5">
        <v>10</v>
      </c>
      <c r="Z486" s="5">
        <v>10</v>
      </c>
      <c r="AA486" s="5">
        <v>5</v>
      </c>
      <c r="AB486" s="5">
        <v>1</v>
      </c>
    </row>
    <row r="487" spans="22:28">
      <c r="V487">
        <f t="shared" si="9"/>
        <v>482</v>
      </c>
      <c r="W487" s="5">
        <v>11</v>
      </c>
      <c r="X487" s="5">
        <v>8</v>
      </c>
      <c r="Y487" s="5">
        <v>10</v>
      </c>
      <c r="Z487" s="5">
        <v>10</v>
      </c>
      <c r="AA487" s="5">
        <v>5</v>
      </c>
      <c r="AB487" s="5">
        <v>1</v>
      </c>
    </row>
    <row r="488" spans="22:28">
      <c r="V488">
        <f t="shared" si="9"/>
        <v>483</v>
      </c>
      <c r="W488" s="5">
        <v>11</v>
      </c>
      <c r="X488" s="5">
        <v>8</v>
      </c>
      <c r="Y488" s="5">
        <v>10</v>
      </c>
      <c r="Z488" s="5">
        <v>10</v>
      </c>
      <c r="AA488" s="5">
        <v>5</v>
      </c>
      <c r="AB488" s="5">
        <v>1</v>
      </c>
    </row>
    <row r="489" spans="22:28">
      <c r="V489">
        <f t="shared" si="9"/>
        <v>484</v>
      </c>
      <c r="W489" s="5">
        <v>11</v>
      </c>
      <c r="X489" s="5">
        <v>8</v>
      </c>
      <c r="Y489" s="5">
        <v>10</v>
      </c>
      <c r="Z489" s="5">
        <v>10</v>
      </c>
      <c r="AA489" s="5">
        <v>5</v>
      </c>
      <c r="AB489" s="5">
        <v>1</v>
      </c>
    </row>
    <row r="490" spans="22:28">
      <c r="V490">
        <f t="shared" si="9"/>
        <v>485</v>
      </c>
      <c r="W490" s="5">
        <v>11</v>
      </c>
      <c r="X490" s="5">
        <v>8</v>
      </c>
      <c r="Y490" s="5">
        <v>10</v>
      </c>
      <c r="Z490" s="5">
        <v>10</v>
      </c>
      <c r="AA490" s="5">
        <v>5</v>
      </c>
      <c r="AB490" s="5">
        <v>1</v>
      </c>
    </row>
    <row r="491" spans="22:28">
      <c r="V491">
        <f t="shared" si="9"/>
        <v>486</v>
      </c>
      <c r="W491" s="5">
        <v>11</v>
      </c>
      <c r="X491" s="5">
        <v>8</v>
      </c>
      <c r="Y491" s="5">
        <v>10</v>
      </c>
      <c r="Z491" s="5">
        <v>10</v>
      </c>
      <c r="AA491" s="5">
        <v>5</v>
      </c>
      <c r="AB491" s="5">
        <v>1</v>
      </c>
    </row>
    <row r="492" spans="22:28">
      <c r="V492">
        <f t="shared" si="9"/>
        <v>487</v>
      </c>
      <c r="W492" s="5">
        <v>11</v>
      </c>
      <c r="X492" s="5">
        <v>8</v>
      </c>
      <c r="Y492" s="5">
        <v>10</v>
      </c>
      <c r="Z492" s="5">
        <v>10</v>
      </c>
      <c r="AA492" s="5">
        <v>5</v>
      </c>
      <c r="AB492" s="5">
        <v>1</v>
      </c>
    </row>
    <row r="493" spans="22:28">
      <c r="V493">
        <f t="shared" si="9"/>
        <v>488</v>
      </c>
      <c r="W493" s="5">
        <v>11</v>
      </c>
      <c r="X493" s="5">
        <v>8</v>
      </c>
      <c r="Y493" s="5">
        <v>10</v>
      </c>
      <c r="Z493" s="5">
        <v>10</v>
      </c>
      <c r="AA493" s="5">
        <v>5</v>
      </c>
      <c r="AB493" s="5">
        <v>1</v>
      </c>
    </row>
    <row r="494" spans="22:28">
      <c r="V494">
        <f t="shared" si="9"/>
        <v>489</v>
      </c>
      <c r="W494" s="5">
        <v>11</v>
      </c>
      <c r="X494" s="5">
        <v>8</v>
      </c>
      <c r="Y494" s="5">
        <v>10</v>
      </c>
      <c r="Z494" s="5">
        <v>10</v>
      </c>
      <c r="AA494" s="5">
        <v>5</v>
      </c>
      <c r="AB494" s="5">
        <v>1</v>
      </c>
    </row>
    <row r="495" spans="22:28">
      <c r="V495">
        <f t="shared" si="9"/>
        <v>490</v>
      </c>
      <c r="W495" s="5">
        <v>11</v>
      </c>
      <c r="X495" s="5">
        <v>8</v>
      </c>
      <c r="Y495" s="5">
        <v>10</v>
      </c>
      <c r="Z495" s="5">
        <v>10</v>
      </c>
      <c r="AA495" s="5">
        <v>5</v>
      </c>
      <c r="AB495" s="5">
        <v>1</v>
      </c>
    </row>
    <row r="496" spans="22:28">
      <c r="V496">
        <f t="shared" si="9"/>
        <v>491</v>
      </c>
      <c r="W496" s="5">
        <v>11</v>
      </c>
      <c r="X496" s="5">
        <v>8</v>
      </c>
      <c r="Y496" s="5">
        <v>10</v>
      </c>
      <c r="Z496" s="5">
        <v>10</v>
      </c>
      <c r="AA496" s="5">
        <v>5</v>
      </c>
      <c r="AB496" s="5">
        <v>1</v>
      </c>
    </row>
    <row r="497" spans="22:28">
      <c r="V497">
        <f t="shared" si="9"/>
        <v>492</v>
      </c>
      <c r="W497" s="5">
        <v>11</v>
      </c>
      <c r="X497" s="5">
        <v>8</v>
      </c>
      <c r="Y497" s="5">
        <v>10</v>
      </c>
      <c r="Z497" s="5">
        <v>10</v>
      </c>
      <c r="AA497" s="5">
        <v>5</v>
      </c>
      <c r="AB497" s="5">
        <v>1</v>
      </c>
    </row>
    <row r="498" spans="22:28">
      <c r="V498">
        <f t="shared" si="9"/>
        <v>493</v>
      </c>
      <c r="W498" s="5">
        <v>11</v>
      </c>
      <c r="X498" s="5">
        <v>8</v>
      </c>
      <c r="Y498" s="5">
        <v>10</v>
      </c>
      <c r="Z498" s="5">
        <v>10</v>
      </c>
      <c r="AA498" s="5">
        <v>5</v>
      </c>
      <c r="AB498" s="5">
        <v>1</v>
      </c>
    </row>
    <row r="499" spans="22:28">
      <c r="V499">
        <f t="shared" si="9"/>
        <v>494</v>
      </c>
      <c r="W499" s="5">
        <v>11</v>
      </c>
      <c r="X499" s="5">
        <v>8</v>
      </c>
      <c r="Y499" s="5">
        <v>10</v>
      </c>
      <c r="Z499" s="5">
        <v>10</v>
      </c>
      <c r="AA499" s="5">
        <v>5</v>
      </c>
      <c r="AB499" s="5">
        <v>1</v>
      </c>
    </row>
    <row r="500" spans="22:28">
      <c r="V500">
        <f t="shared" si="9"/>
        <v>495</v>
      </c>
      <c r="W500" s="5">
        <v>11</v>
      </c>
      <c r="X500" s="5">
        <v>8</v>
      </c>
      <c r="Y500" s="5">
        <v>10</v>
      </c>
      <c r="Z500" s="5">
        <v>10</v>
      </c>
      <c r="AA500" s="5">
        <v>5</v>
      </c>
      <c r="AB500" s="5">
        <v>1</v>
      </c>
    </row>
    <row r="501" spans="22:28">
      <c r="V501">
        <f t="shared" si="9"/>
        <v>496</v>
      </c>
      <c r="W501" s="5">
        <v>11</v>
      </c>
      <c r="X501" s="5">
        <v>8</v>
      </c>
      <c r="Y501" s="5">
        <v>10</v>
      </c>
      <c r="Z501" s="5">
        <v>10</v>
      </c>
      <c r="AA501" s="5">
        <v>5</v>
      </c>
      <c r="AB501" s="5">
        <v>1</v>
      </c>
    </row>
    <row r="502" spans="22:28">
      <c r="V502">
        <f t="shared" si="9"/>
        <v>497</v>
      </c>
      <c r="W502" s="5">
        <v>11</v>
      </c>
      <c r="X502" s="5">
        <v>8</v>
      </c>
      <c r="Y502" s="5">
        <v>10</v>
      </c>
      <c r="Z502" s="5">
        <v>10</v>
      </c>
      <c r="AA502" s="5">
        <v>5</v>
      </c>
      <c r="AB502" s="5">
        <v>1</v>
      </c>
    </row>
    <row r="503" spans="22:28">
      <c r="V503">
        <f t="shared" si="9"/>
        <v>498</v>
      </c>
      <c r="W503" s="5">
        <v>11</v>
      </c>
      <c r="X503" s="5">
        <v>8</v>
      </c>
      <c r="Y503" s="5">
        <v>10</v>
      </c>
      <c r="Z503" s="5">
        <v>10</v>
      </c>
      <c r="AA503" s="5">
        <v>5</v>
      </c>
      <c r="AB503" s="5">
        <v>1</v>
      </c>
    </row>
    <row r="504" spans="22:28">
      <c r="V504">
        <f t="shared" si="9"/>
        <v>499</v>
      </c>
      <c r="W504" s="5">
        <v>11</v>
      </c>
      <c r="X504" s="5">
        <v>8</v>
      </c>
      <c r="Y504" s="5">
        <v>10</v>
      </c>
      <c r="Z504" s="5">
        <v>10</v>
      </c>
      <c r="AA504" s="5">
        <v>5</v>
      </c>
      <c r="AB504" s="5">
        <v>1</v>
      </c>
    </row>
    <row r="505" spans="22:28">
      <c r="V505">
        <f t="shared" si="9"/>
        <v>500</v>
      </c>
      <c r="W505" s="5">
        <v>11</v>
      </c>
      <c r="X505" s="5">
        <v>8</v>
      </c>
      <c r="Y505" s="5">
        <v>10</v>
      </c>
      <c r="Z505" s="5">
        <v>10</v>
      </c>
      <c r="AA505" s="5">
        <v>5</v>
      </c>
      <c r="AB505" s="5">
        <v>1</v>
      </c>
    </row>
    <row r="506" spans="22:28">
      <c r="V506">
        <f t="shared" si="9"/>
        <v>501</v>
      </c>
      <c r="W506" s="5">
        <v>12</v>
      </c>
      <c r="X506" s="5">
        <v>8</v>
      </c>
      <c r="Y506" s="5">
        <v>11</v>
      </c>
      <c r="Z506" s="5">
        <v>11</v>
      </c>
      <c r="AA506" s="5">
        <v>6</v>
      </c>
      <c r="AB506" s="5">
        <v>1</v>
      </c>
    </row>
    <row r="507" spans="22:28">
      <c r="V507">
        <f t="shared" si="9"/>
        <v>502</v>
      </c>
      <c r="W507" s="5">
        <v>12</v>
      </c>
      <c r="X507" s="5">
        <v>8</v>
      </c>
      <c r="Y507" s="5">
        <v>11</v>
      </c>
      <c r="Z507" s="5">
        <v>11</v>
      </c>
      <c r="AA507" s="5">
        <v>6</v>
      </c>
      <c r="AB507" s="5">
        <v>1</v>
      </c>
    </row>
    <row r="508" spans="22:28">
      <c r="V508">
        <f t="shared" si="9"/>
        <v>503</v>
      </c>
      <c r="W508" s="5">
        <v>12</v>
      </c>
      <c r="X508" s="5">
        <v>8</v>
      </c>
      <c r="Y508" s="5">
        <v>11</v>
      </c>
      <c r="Z508" s="5">
        <v>11</v>
      </c>
      <c r="AA508" s="5">
        <v>6</v>
      </c>
      <c r="AB508" s="5">
        <v>1</v>
      </c>
    </row>
    <row r="509" spans="22:28">
      <c r="V509">
        <f t="shared" si="9"/>
        <v>504</v>
      </c>
      <c r="W509" s="5">
        <v>12</v>
      </c>
      <c r="X509" s="5">
        <v>8</v>
      </c>
      <c r="Y509" s="5">
        <v>11</v>
      </c>
      <c r="Z509" s="5">
        <v>11</v>
      </c>
      <c r="AA509" s="5">
        <v>6</v>
      </c>
      <c r="AB509" s="5">
        <v>1</v>
      </c>
    </row>
    <row r="510" spans="22:28">
      <c r="V510">
        <f t="shared" si="9"/>
        <v>505</v>
      </c>
      <c r="W510" s="5">
        <v>12</v>
      </c>
      <c r="X510" s="5">
        <v>8</v>
      </c>
      <c r="Y510" s="5">
        <v>11</v>
      </c>
      <c r="Z510" s="5">
        <v>11</v>
      </c>
      <c r="AA510" s="5">
        <v>6</v>
      </c>
      <c r="AB510" s="5">
        <v>1</v>
      </c>
    </row>
    <row r="511" spans="22:28">
      <c r="V511">
        <f t="shared" si="9"/>
        <v>506</v>
      </c>
      <c r="W511" s="5">
        <v>12</v>
      </c>
      <c r="X511" s="5">
        <v>8</v>
      </c>
      <c r="Y511" s="5">
        <v>11</v>
      </c>
      <c r="Z511" s="5">
        <v>11</v>
      </c>
      <c r="AA511" s="5">
        <v>6</v>
      </c>
      <c r="AB511" s="5">
        <v>1</v>
      </c>
    </row>
    <row r="512" spans="22:28">
      <c r="V512">
        <f t="shared" si="9"/>
        <v>507</v>
      </c>
      <c r="W512" s="5">
        <v>12</v>
      </c>
      <c r="X512" s="5">
        <v>8</v>
      </c>
      <c r="Y512" s="5">
        <v>11</v>
      </c>
      <c r="Z512" s="5">
        <v>11</v>
      </c>
      <c r="AA512" s="5">
        <v>6</v>
      </c>
      <c r="AB512" s="5">
        <v>1</v>
      </c>
    </row>
    <row r="513" spans="22:28">
      <c r="V513">
        <f t="shared" si="9"/>
        <v>508</v>
      </c>
      <c r="W513" s="5">
        <v>12</v>
      </c>
      <c r="X513" s="5">
        <v>8</v>
      </c>
      <c r="Y513" s="5">
        <v>11</v>
      </c>
      <c r="Z513" s="5">
        <v>11</v>
      </c>
      <c r="AA513" s="5">
        <v>6</v>
      </c>
      <c r="AB513" s="5">
        <v>1</v>
      </c>
    </row>
    <row r="514" spans="22:28">
      <c r="V514">
        <f t="shared" si="9"/>
        <v>509</v>
      </c>
      <c r="W514" s="5">
        <v>12</v>
      </c>
      <c r="X514" s="5">
        <v>8</v>
      </c>
      <c r="Y514" s="5">
        <v>11</v>
      </c>
      <c r="Z514" s="5">
        <v>11</v>
      </c>
      <c r="AA514" s="5">
        <v>6</v>
      </c>
      <c r="AB514" s="5">
        <v>1</v>
      </c>
    </row>
    <row r="515" spans="22:28">
      <c r="V515">
        <f t="shared" si="9"/>
        <v>510</v>
      </c>
      <c r="W515" s="5">
        <v>12</v>
      </c>
      <c r="X515" s="5">
        <v>8</v>
      </c>
      <c r="Y515" s="5">
        <v>11</v>
      </c>
      <c r="Z515" s="5">
        <v>11</v>
      </c>
      <c r="AA515" s="5">
        <v>6</v>
      </c>
      <c r="AB515" s="5">
        <v>1</v>
      </c>
    </row>
    <row r="516" spans="22:28">
      <c r="V516">
        <f t="shared" si="9"/>
        <v>511</v>
      </c>
      <c r="W516" s="5">
        <v>12</v>
      </c>
      <c r="X516" s="5">
        <v>8</v>
      </c>
      <c r="Y516" s="5">
        <v>11</v>
      </c>
      <c r="Z516" s="5">
        <v>11</v>
      </c>
      <c r="AA516" s="5">
        <v>6</v>
      </c>
      <c r="AB516" s="5">
        <v>1</v>
      </c>
    </row>
    <row r="517" spans="22:28">
      <c r="V517">
        <f t="shared" si="9"/>
        <v>512</v>
      </c>
      <c r="W517" s="5">
        <v>12</v>
      </c>
      <c r="X517" s="5">
        <v>8</v>
      </c>
      <c r="Y517" s="5">
        <v>11</v>
      </c>
      <c r="Z517" s="5">
        <v>11</v>
      </c>
      <c r="AA517" s="5">
        <v>6</v>
      </c>
      <c r="AB517" s="5">
        <v>1</v>
      </c>
    </row>
    <row r="518" spans="22:28">
      <c r="V518">
        <f t="shared" si="9"/>
        <v>513</v>
      </c>
      <c r="W518" s="5">
        <v>12</v>
      </c>
      <c r="X518" s="5">
        <v>8</v>
      </c>
      <c r="Y518" s="5">
        <v>11</v>
      </c>
      <c r="Z518" s="5">
        <v>11</v>
      </c>
      <c r="AA518" s="5">
        <v>6</v>
      </c>
      <c r="AB518" s="5">
        <v>1</v>
      </c>
    </row>
    <row r="519" spans="22:28">
      <c r="V519">
        <f t="shared" si="9"/>
        <v>514</v>
      </c>
      <c r="W519" s="5">
        <v>12</v>
      </c>
      <c r="X519" s="5">
        <v>8</v>
      </c>
      <c r="Y519" s="5">
        <v>11</v>
      </c>
      <c r="Z519" s="5">
        <v>11</v>
      </c>
      <c r="AA519" s="5">
        <v>6</v>
      </c>
      <c r="AB519" s="5">
        <v>1</v>
      </c>
    </row>
    <row r="520" spans="22:28">
      <c r="V520">
        <f t="shared" ref="V520:V535" si="10">V519+1</f>
        <v>515</v>
      </c>
      <c r="W520" s="5">
        <v>12</v>
      </c>
      <c r="X520" s="5">
        <v>8</v>
      </c>
      <c r="Y520" s="5">
        <v>11</v>
      </c>
      <c r="Z520" s="5">
        <v>11</v>
      </c>
      <c r="AA520" s="5">
        <v>6</v>
      </c>
      <c r="AB520" s="5">
        <v>1</v>
      </c>
    </row>
    <row r="521" spans="22:28">
      <c r="V521">
        <f t="shared" si="10"/>
        <v>516</v>
      </c>
      <c r="W521" s="5">
        <v>12</v>
      </c>
      <c r="X521" s="5">
        <v>8</v>
      </c>
      <c r="Y521" s="5">
        <v>11</v>
      </c>
      <c r="Z521" s="5">
        <v>11</v>
      </c>
      <c r="AA521" s="5">
        <v>6</v>
      </c>
      <c r="AB521" s="5">
        <v>1</v>
      </c>
    </row>
    <row r="522" spans="22:28">
      <c r="V522">
        <f t="shared" si="10"/>
        <v>517</v>
      </c>
      <c r="W522" s="5">
        <v>12</v>
      </c>
      <c r="X522" s="5">
        <v>8</v>
      </c>
      <c r="Y522" s="5">
        <v>11</v>
      </c>
      <c r="Z522" s="5">
        <v>11</v>
      </c>
      <c r="AA522" s="5">
        <v>6</v>
      </c>
      <c r="AB522" s="5">
        <v>1</v>
      </c>
    </row>
    <row r="523" spans="22:28">
      <c r="V523">
        <f t="shared" si="10"/>
        <v>518</v>
      </c>
      <c r="W523" s="5">
        <v>12</v>
      </c>
      <c r="X523" s="5">
        <v>8</v>
      </c>
      <c r="Y523" s="5">
        <v>11</v>
      </c>
      <c r="Z523" s="5">
        <v>11</v>
      </c>
      <c r="AA523" s="5">
        <v>6</v>
      </c>
      <c r="AB523" s="5">
        <v>1</v>
      </c>
    </row>
    <row r="524" spans="22:28">
      <c r="V524">
        <f t="shared" si="10"/>
        <v>519</v>
      </c>
      <c r="W524" s="5">
        <v>12</v>
      </c>
      <c r="X524" s="5">
        <v>8</v>
      </c>
      <c r="Y524" s="5">
        <v>11</v>
      </c>
      <c r="Z524" s="5">
        <v>11</v>
      </c>
      <c r="AA524" s="5">
        <v>6</v>
      </c>
      <c r="AB524" s="5">
        <v>1</v>
      </c>
    </row>
    <row r="525" spans="22:28">
      <c r="V525">
        <f t="shared" si="10"/>
        <v>520</v>
      </c>
      <c r="W525" s="5">
        <v>12</v>
      </c>
      <c r="X525" s="5">
        <v>8</v>
      </c>
      <c r="Y525" s="5">
        <v>11</v>
      </c>
      <c r="Z525" s="5">
        <v>11</v>
      </c>
      <c r="AA525" s="5">
        <v>6</v>
      </c>
      <c r="AB525" s="5">
        <v>1</v>
      </c>
    </row>
    <row r="526" spans="22:28">
      <c r="V526">
        <f t="shared" si="10"/>
        <v>521</v>
      </c>
      <c r="W526" s="5">
        <v>12</v>
      </c>
      <c r="X526" s="5">
        <v>8</v>
      </c>
      <c r="Y526" s="5">
        <v>11</v>
      </c>
      <c r="Z526" s="5">
        <v>11</v>
      </c>
      <c r="AA526" s="5">
        <v>6</v>
      </c>
      <c r="AB526" s="5">
        <v>1</v>
      </c>
    </row>
    <row r="527" spans="22:28">
      <c r="V527">
        <f t="shared" si="10"/>
        <v>522</v>
      </c>
      <c r="W527" s="5">
        <v>12</v>
      </c>
      <c r="X527" s="5">
        <v>8</v>
      </c>
      <c r="Y527" s="5">
        <v>11</v>
      </c>
      <c r="Z527" s="5">
        <v>11</v>
      </c>
      <c r="AA527" s="5">
        <v>6</v>
      </c>
      <c r="AB527" s="5">
        <v>1</v>
      </c>
    </row>
    <row r="528" spans="22:28">
      <c r="V528">
        <f t="shared" si="10"/>
        <v>523</v>
      </c>
      <c r="W528" s="5">
        <v>12</v>
      </c>
      <c r="X528" s="5">
        <v>8</v>
      </c>
      <c r="Y528" s="5">
        <v>11</v>
      </c>
      <c r="Z528" s="5">
        <v>11</v>
      </c>
      <c r="AA528" s="5">
        <v>6</v>
      </c>
      <c r="AB528" s="5">
        <v>1</v>
      </c>
    </row>
    <row r="529" spans="22:28">
      <c r="V529">
        <f t="shared" si="10"/>
        <v>524</v>
      </c>
      <c r="W529" s="5">
        <v>12</v>
      </c>
      <c r="X529" s="5">
        <v>8</v>
      </c>
      <c r="Y529" s="5">
        <v>11</v>
      </c>
      <c r="Z529" s="5">
        <v>11</v>
      </c>
      <c r="AA529" s="5">
        <v>6</v>
      </c>
      <c r="AB529" s="5">
        <v>1</v>
      </c>
    </row>
    <row r="530" spans="22:28">
      <c r="V530">
        <f t="shared" si="10"/>
        <v>525</v>
      </c>
      <c r="W530" s="5">
        <v>12</v>
      </c>
      <c r="X530" s="5">
        <v>8</v>
      </c>
      <c r="Y530" s="5">
        <v>11</v>
      </c>
      <c r="Z530" s="5">
        <v>11</v>
      </c>
      <c r="AA530" s="5">
        <v>6</v>
      </c>
      <c r="AB530" s="5">
        <v>1</v>
      </c>
    </row>
    <row r="531" spans="22:28">
      <c r="V531">
        <f t="shared" si="10"/>
        <v>526</v>
      </c>
      <c r="W531" s="5">
        <v>12</v>
      </c>
      <c r="X531" s="5">
        <v>8</v>
      </c>
      <c r="Y531" s="5">
        <v>11</v>
      </c>
      <c r="Z531" s="5">
        <v>11</v>
      </c>
      <c r="AA531" s="5">
        <v>6</v>
      </c>
      <c r="AB531" s="5">
        <v>1</v>
      </c>
    </row>
    <row r="532" spans="22:28">
      <c r="V532">
        <f t="shared" si="10"/>
        <v>527</v>
      </c>
      <c r="W532" s="5">
        <v>12</v>
      </c>
      <c r="X532" s="5">
        <v>8</v>
      </c>
      <c r="Y532" s="5">
        <v>11</v>
      </c>
      <c r="Z532" s="5">
        <v>11</v>
      </c>
      <c r="AA532" s="5">
        <v>6</v>
      </c>
      <c r="AB532" s="5">
        <v>1</v>
      </c>
    </row>
    <row r="533" spans="22:28">
      <c r="V533">
        <f t="shared" si="10"/>
        <v>528</v>
      </c>
      <c r="W533" s="5">
        <v>12</v>
      </c>
      <c r="X533" s="5">
        <v>8</v>
      </c>
      <c r="Y533" s="5">
        <v>11</v>
      </c>
      <c r="Z533" s="5">
        <v>11</v>
      </c>
      <c r="AA533" s="5">
        <v>6</v>
      </c>
      <c r="AB533" s="5">
        <v>1</v>
      </c>
    </row>
    <row r="534" spans="22:28">
      <c r="V534">
        <f t="shared" si="10"/>
        <v>529</v>
      </c>
      <c r="W534" s="5">
        <v>12</v>
      </c>
      <c r="X534" s="5">
        <v>8</v>
      </c>
      <c r="Y534" s="5">
        <v>11</v>
      </c>
      <c r="Z534" s="5">
        <v>11</v>
      </c>
      <c r="AA534" s="5">
        <v>6</v>
      </c>
      <c r="AB534" s="5">
        <v>1</v>
      </c>
    </row>
    <row r="535" spans="22:28">
      <c r="V535">
        <f t="shared" si="10"/>
        <v>530</v>
      </c>
      <c r="W535" s="5">
        <v>12</v>
      </c>
      <c r="X535" s="5">
        <v>8</v>
      </c>
      <c r="Y535" s="5">
        <v>11</v>
      </c>
      <c r="Z535" s="5">
        <v>11</v>
      </c>
      <c r="AA535" s="5">
        <v>6</v>
      </c>
      <c r="AB535" s="5">
        <v>1</v>
      </c>
    </row>
    <row r="536" spans="22:28">
      <c r="X536" s="5"/>
      <c r="Y536" s="5"/>
      <c r="Z536" s="5"/>
      <c r="AA536" s="5"/>
      <c r="AB536" s="5"/>
    </row>
    <row r="537" spans="22:28">
      <c r="X537" s="5"/>
      <c r="Y537" s="5"/>
      <c r="Z537" s="5"/>
      <c r="AA537" s="5"/>
      <c r="AB537" s="5"/>
    </row>
    <row r="538" spans="22:28">
      <c r="X538" s="5"/>
      <c r="Y538" s="5"/>
      <c r="Z538" s="5"/>
      <c r="AA538" s="5"/>
      <c r="AB538" s="5"/>
    </row>
    <row r="539" spans="22:28">
      <c r="X539" s="5"/>
      <c r="Y539" s="5"/>
      <c r="Z539" s="5"/>
      <c r="AA539" s="5"/>
      <c r="AB539" s="5"/>
    </row>
  </sheetData>
  <mergeCells count="4">
    <mergeCell ref="H10:L10"/>
    <mergeCell ref="P10:T10"/>
    <mergeCell ref="B7:C7"/>
    <mergeCell ref="V4:W4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3:J21"/>
  <sheetViews>
    <sheetView workbookViewId="0">
      <selection activeCell="I12" sqref="I12"/>
    </sheetView>
  </sheetViews>
  <sheetFormatPr defaultRowHeight="12.75"/>
  <cols>
    <col min="2" max="2" width="13.42578125" bestFit="1" customWidth="1"/>
    <col min="8" max="8" width="9.140625" style="5"/>
  </cols>
  <sheetData>
    <row r="3" spans="2:10">
      <c r="B3" t="s">
        <v>295</v>
      </c>
      <c r="C3" t="s">
        <v>296</v>
      </c>
    </row>
    <row r="5" spans="2:10">
      <c r="B5" s="78" t="s">
        <v>302</v>
      </c>
      <c r="C5" s="5" t="s">
        <v>297</v>
      </c>
      <c r="D5" s="5" t="s">
        <v>298</v>
      </c>
      <c r="E5" s="5" t="s">
        <v>299</v>
      </c>
      <c r="F5" s="5"/>
      <c r="G5" s="5"/>
      <c r="I5" s="5"/>
    </row>
    <row r="7" spans="2:10">
      <c r="B7" t="s">
        <v>300</v>
      </c>
      <c r="C7" t="s">
        <v>301</v>
      </c>
    </row>
    <row r="9" spans="2:10" ht="13.5" thickBot="1">
      <c r="B9" t="s">
        <v>307</v>
      </c>
      <c r="C9" t="s">
        <v>306</v>
      </c>
      <c r="H9" s="5" t="s">
        <v>308</v>
      </c>
      <c r="I9" s="6"/>
      <c r="J9" t="s">
        <v>315</v>
      </c>
    </row>
    <row r="10" spans="2:10">
      <c r="B10" t="s">
        <v>316</v>
      </c>
      <c r="C10">
        <v>2</v>
      </c>
      <c r="D10">
        <v>3</v>
      </c>
      <c r="E10">
        <v>4</v>
      </c>
      <c r="F10">
        <v>5</v>
      </c>
      <c r="G10">
        <v>6</v>
      </c>
      <c r="H10" s="5" t="s">
        <v>308</v>
      </c>
    </row>
    <row r="12" spans="2:10" ht="13.5" thickBot="1">
      <c r="B12" t="s">
        <v>309</v>
      </c>
      <c r="C12" s="5" t="s">
        <v>303</v>
      </c>
      <c r="D12" s="5" t="s">
        <v>304</v>
      </c>
      <c r="E12" s="5" t="s">
        <v>305</v>
      </c>
      <c r="H12" s="5" t="s">
        <v>308</v>
      </c>
      <c r="I12" s="6"/>
      <c r="J12" s="78" t="s">
        <v>315</v>
      </c>
    </row>
    <row r="14" spans="2:10" ht="13.5" thickBot="1">
      <c r="B14" t="s">
        <v>310</v>
      </c>
      <c r="C14" t="s">
        <v>311</v>
      </c>
      <c r="D14" t="s">
        <v>312</v>
      </c>
      <c r="E14" t="s">
        <v>160</v>
      </c>
      <c r="F14" t="s">
        <v>313</v>
      </c>
      <c r="H14" s="5" t="s">
        <v>308</v>
      </c>
      <c r="I14" s="6">
        <f ca="1">Inputs!E28/32</f>
        <v>31.0625</v>
      </c>
      <c r="J14" s="81" t="s">
        <v>314</v>
      </c>
    </row>
    <row r="16" spans="2:10" ht="13.5" thickBot="1">
      <c r="B16" t="s">
        <v>317</v>
      </c>
      <c r="C16" t="s">
        <v>318</v>
      </c>
      <c r="H16" s="5" t="s">
        <v>308</v>
      </c>
      <c r="I16" s="6">
        <f>I14</f>
        <v>31.0625</v>
      </c>
      <c r="J16" t="s">
        <v>314</v>
      </c>
    </row>
    <row r="18" spans="2:6">
      <c r="B18" t="s">
        <v>319</v>
      </c>
      <c r="C18" t="s">
        <v>320</v>
      </c>
      <c r="D18" t="s">
        <v>321</v>
      </c>
      <c r="E18" t="s">
        <v>322</v>
      </c>
      <c r="F18" t="s">
        <v>323</v>
      </c>
    </row>
    <row r="20" spans="2:6">
      <c r="B20" t="s">
        <v>324</v>
      </c>
      <c r="C20" t="s">
        <v>325</v>
      </c>
      <c r="D20" t="s">
        <v>326</v>
      </c>
    </row>
    <row r="21" spans="2:6">
      <c r="D21" t="s">
        <v>3</v>
      </c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C3:U36"/>
  <sheetViews>
    <sheetView topLeftCell="E1" workbookViewId="0">
      <selection activeCell="R15" sqref="R15"/>
    </sheetView>
  </sheetViews>
  <sheetFormatPr defaultRowHeight="12.75"/>
  <cols>
    <col min="1" max="2" width="3.140625" customWidth="1"/>
    <col min="3" max="3" width="22" bestFit="1" customWidth="1"/>
    <col min="4" max="4" width="22.42578125" customWidth="1"/>
    <col min="6" max="6" width="11" customWidth="1"/>
    <col min="7" max="7" width="10.140625" customWidth="1"/>
    <col min="8" max="8" width="12.28515625" customWidth="1"/>
    <col min="15" max="15" width="10" bestFit="1" customWidth="1"/>
    <col min="17" max="17" width="7.7109375" bestFit="1" customWidth="1"/>
    <col min="18" max="18" width="21.42578125" bestFit="1" customWidth="1"/>
    <col min="19" max="19" width="18.42578125" bestFit="1" customWidth="1"/>
  </cols>
  <sheetData>
    <row r="3" spans="3:21">
      <c r="M3" s="8" t="s">
        <v>569</v>
      </c>
    </row>
    <row r="4" spans="3:21">
      <c r="M4" s="8" t="s">
        <v>570</v>
      </c>
    </row>
    <row r="5" spans="3:21">
      <c r="M5" s="8" t="s">
        <v>550</v>
      </c>
    </row>
    <row r="6" spans="3:21">
      <c r="C6" s="267" t="s">
        <v>386</v>
      </c>
      <c r="D6" s="267"/>
      <c r="E6" s="267"/>
      <c r="F6" s="267"/>
      <c r="G6" s="267"/>
      <c r="H6" s="267"/>
      <c r="I6" s="267"/>
      <c r="J6" s="92"/>
      <c r="N6" s="8"/>
      <c r="O6" s="8"/>
      <c r="P6" s="8"/>
      <c r="Q6" s="8"/>
    </row>
    <row r="7" spans="3:21">
      <c r="N7" s="8"/>
      <c r="O7" s="8"/>
      <c r="P7" s="8"/>
      <c r="Q7" s="8"/>
    </row>
    <row r="8" spans="3:21">
      <c r="C8" s="43" t="s">
        <v>12</v>
      </c>
      <c r="D8" s="266" t="str">
        <f ca="1">Specs!I9</f>
        <v>MODULAR OFFICE COMPLEX</v>
      </c>
      <c r="E8" s="266"/>
      <c r="M8" s="39" t="s">
        <v>524</v>
      </c>
      <c r="N8" s="39" t="s">
        <v>33</v>
      </c>
      <c r="O8" s="39" t="s">
        <v>175</v>
      </c>
      <c r="P8" s="39" t="s">
        <v>137</v>
      </c>
      <c r="Q8" s="39" t="s">
        <v>532</v>
      </c>
      <c r="R8" s="39" t="s">
        <v>534</v>
      </c>
      <c r="S8" s="39" t="s">
        <v>533</v>
      </c>
    </row>
    <row r="9" spans="3:21">
      <c r="M9" s="39" t="s">
        <v>517</v>
      </c>
      <c r="N9" s="39">
        <f>825*2</f>
        <v>1650</v>
      </c>
      <c r="O9" s="39">
        <v>16</v>
      </c>
      <c r="P9" s="39" t="s">
        <v>525</v>
      </c>
      <c r="Q9" s="39">
        <v>20</v>
      </c>
      <c r="R9" s="132">
        <f>ROUND(N9*0.007,0)</f>
        <v>12</v>
      </c>
      <c r="S9" s="132">
        <f>R9*20</f>
        <v>240</v>
      </c>
      <c r="T9" s="131"/>
      <c r="U9" s="131"/>
    </row>
    <row r="10" spans="3:21">
      <c r="C10" s="97" t="s">
        <v>379</v>
      </c>
      <c r="D10" s="98">
        <f ca="1">Inputs!E7</f>
        <v>17.75</v>
      </c>
      <c r="E10" s="97" t="s">
        <v>382</v>
      </c>
      <c r="F10" s="98">
        <f ca="1">Inputs!E28</f>
        <v>994</v>
      </c>
      <c r="M10" s="39" t="s">
        <v>518</v>
      </c>
      <c r="N10" s="39">
        <f>825*3</f>
        <v>2475</v>
      </c>
      <c r="O10" s="39">
        <v>24</v>
      </c>
      <c r="P10" s="39" t="s">
        <v>529</v>
      </c>
      <c r="Q10" s="39">
        <v>28</v>
      </c>
      <c r="R10" s="132">
        <f t="shared" ref="R10:R15" si="0">ROUND(N10*0.007,0)</f>
        <v>17</v>
      </c>
      <c r="S10" s="132">
        <f t="shared" ref="S10:S15" si="1">R10*20</f>
        <v>340</v>
      </c>
      <c r="T10" s="131"/>
      <c r="U10" s="131"/>
    </row>
    <row r="11" spans="3:21">
      <c r="C11" s="97" t="s">
        <v>380</v>
      </c>
      <c r="D11" s="98">
        <f ca="1">Inputs!E8</f>
        <v>56</v>
      </c>
      <c r="M11" s="39" t="s">
        <v>519</v>
      </c>
      <c r="N11" s="39">
        <f>825*4</f>
        <v>3300</v>
      </c>
      <c r="O11" s="39">
        <v>33</v>
      </c>
      <c r="P11" s="39" t="s">
        <v>526</v>
      </c>
      <c r="Q11" s="39">
        <v>36</v>
      </c>
      <c r="R11" s="132">
        <f t="shared" si="0"/>
        <v>23</v>
      </c>
      <c r="S11" s="132">
        <f t="shared" si="1"/>
        <v>460</v>
      </c>
      <c r="T11" s="131"/>
      <c r="U11" s="131">
        <f>10+8+8+10</f>
        <v>36</v>
      </c>
    </row>
    <row r="12" spans="3:21">
      <c r="C12" s="97" t="s">
        <v>381</v>
      </c>
      <c r="D12" s="98">
        <f ca="1">Inputs!T10</f>
        <v>1</v>
      </c>
      <c r="F12" s="191" t="s">
        <v>384</v>
      </c>
      <c r="G12" s="191"/>
      <c r="H12" s="1">
        <f ca="1">'AC duct'!C17</f>
        <v>7</v>
      </c>
      <c r="M12" s="39" t="s">
        <v>520</v>
      </c>
      <c r="N12" s="39">
        <f>825*5</f>
        <v>4125</v>
      </c>
      <c r="O12" s="39">
        <v>41</v>
      </c>
      <c r="P12" s="39" t="s">
        <v>528</v>
      </c>
      <c r="Q12" s="39">
        <v>41</v>
      </c>
      <c r="R12" s="132">
        <f t="shared" si="0"/>
        <v>29</v>
      </c>
      <c r="S12" s="132">
        <f t="shared" si="1"/>
        <v>580</v>
      </c>
      <c r="T12" s="131"/>
      <c r="U12" s="131">
        <f>10+8+5+8+10</f>
        <v>41</v>
      </c>
    </row>
    <row r="13" spans="3:21">
      <c r="C13" s="97" t="s">
        <v>387</v>
      </c>
      <c r="D13" s="98" t="str">
        <f ca="1">Inputs!E24</f>
        <v>B</v>
      </c>
      <c r="F13" s="42" t="s">
        <v>385</v>
      </c>
      <c r="G13" s="1"/>
      <c r="H13" s="1">
        <f ca="1">'AC duct'!C19</f>
        <v>140</v>
      </c>
      <c r="M13" s="39" t="s">
        <v>521</v>
      </c>
      <c r="N13" s="39">
        <f>825*6</f>
        <v>4950</v>
      </c>
      <c r="O13" s="39">
        <v>49</v>
      </c>
      <c r="P13" s="39" t="s">
        <v>527</v>
      </c>
      <c r="Q13" s="39">
        <v>49</v>
      </c>
      <c r="R13" s="132">
        <f t="shared" si="0"/>
        <v>35</v>
      </c>
      <c r="S13" s="132">
        <f t="shared" si="1"/>
        <v>700</v>
      </c>
      <c r="T13" s="131"/>
      <c r="U13" s="131">
        <f>10+8+8+5+8+10</f>
        <v>49</v>
      </c>
    </row>
    <row r="14" spans="3:21">
      <c r="C14" s="97" t="s">
        <v>383</v>
      </c>
      <c r="D14" s="98">
        <f ca="1">Specs!I20</f>
        <v>0</v>
      </c>
      <c r="F14" t="s">
        <v>3</v>
      </c>
      <c r="M14" s="39" t="s">
        <v>522</v>
      </c>
      <c r="N14" s="39">
        <f>825*7</f>
        <v>5775</v>
      </c>
      <c r="O14" s="39">
        <v>57</v>
      </c>
      <c r="P14" s="39" t="s">
        <v>530</v>
      </c>
      <c r="Q14" s="39">
        <v>57</v>
      </c>
      <c r="R14" s="132">
        <f t="shared" si="0"/>
        <v>40</v>
      </c>
      <c r="S14" s="132">
        <f t="shared" si="1"/>
        <v>800</v>
      </c>
      <c r="T14" s="131"/>
      <c r="U14" s="131">
        <f>10+8+8+5+8+8+10</f>
        <v>57</v>
      </c>
    </row>
    <row r="15" spans="3:21">
      <c r="C15" s="100"/>
      <c r="D15" s="101"/>
      <c r="M15" s="39" t="s">
        <v>523</v>
      </c>
      <c r="N15" s="39">
        <f>825*8</f>
        <v>6600</v>
      </c>
      <c r="O15" s="39">
        <v>66</v>
      </c>
      <c r="P15" s="39" t="s">
        <v>531</v>
      </c>
      <c r="Q15" s="39">
        <v>65</v>
      </c>
      <c r="R15" s="132">
        <f t="shared" si="0"/>
        <v>46</v>
      </c>
      <c r="S15" s="132">
        <f t="shared" si="1"/>
        <v>920</v>
      </c>
      <c r="T15" s="131"/>
      <c r="U15" s="131">
        <f>10+8+8+5+8+8+8+10</f>
        <v>65</v>
      </c>
    </row>
    <row r="16" spans="3:21">
      <c r="C16" s="97" t="s">
        <v>404</v>
      </c>
      <c r="D16" s="98">
        <f ca="1">Inputs!E11</f>
        <v>27832</v>
      </c>
      <c r="P16" s="8"/>
    </row>
    <row r="17" spans="3:16">
      <c r="C17" s="97" t="s">
        <v>405</v>
      </c>
      <c r="D17" s="98">
        <f ca="1">Inputs!T11</f>
        <v>27832</v>
      </c>
      <c r="P17" s="8"/>
    </row>
    <row r="18" spans="3:16">
      <c r="C18" s="97" t="s">
        <v>486</v>
      </c>
      <c r="D18" s="98">
        <f ca="1">Inputs!T12/Inputs!T10</f>
        <v>6</v>
      </c>
    </row>
    <row r="19" spans="3:16" ht="13.5" thickBot="1"/>
    <row r="20" spans="3:16">
      <c r="C20" s="94" t="s">
        <v>388</v>
      </c>
      <c r="D20" s="95"/>
      <c r="F20" s="96" t="s">
        <v>389</v>
      </c>
      <c r="G20" s="66"/>
      <c r="H20" s="82"/>
    </row>
    <row r="21" spans="3:16" ht="12.75" customHeight="1">
      <c r="C21" s="265" t="str">
        <f ca="1">Specs!G12</f>
        <v>ELECTRICAL: NEC-2008</v>
      </c>
      <c r="D21" s="265"/>
      <c r="E21" s="93"/>
      <c r="F21" s="99" t="s">
        <v>390</v>
      </c>
      <c r="G21" s="240">
        <f ca="1">Specs!J24</f>
        <v>30</v>
      </c>
      <c r="H21" s="240"/>
    </row>
    <row r="22" spans="3:16" ht="12.75" customHeight="1">
      <c r="C22" s="265" t="str">
        <f ca="1">Specs!G13</f>
        <v>BUILDING: IBC-2006</v>
      </c>
      <c r="D22" s="265"/>
      <c r="E22" s="93"/>
      <c r="F22" s="99" t="s">
        <v>391</v>
      </c>
      <c r="G22" s="240">
        <f ca="1">Specs!J25</f>
        <v>50</v>
      </c>
      <c r="H22" s="240"/>
    </row>
    <row r="23" spans="3:16" ht="12.75" customHeight="1">
      <c r="C23" s="265" t="str">
        <f ca="1">Specs!G14</f>
        <v>PLUMBING: IPC-2006</v>
      </c>
      <c r="D23" s="265"/>
      <c r="E23" s="93"/>
      <c r="F23" s="99" t="s">
        <v>392</v>
      </c>
      <c r="G23" s="240" t="str">
        <f ca="1">Specs!J26</f>
        <v>2000 LBS</v>
      </c>
      <c r="H23" s="240"/>
    </row>
    <row r="24" spans="3:16" ht="12.75" customHeight="1">
      <c r="C24" s="265" t="str">
        <f ca="1">Specs!G15</f>
        <v>MECHANICAL: IMC-2006</v>
      </c>
      <c r="D24" s="265"/>
      <c r="E24" s="93"/>
      <c r="F24" s="99" t="s">
        <v>393</v>
      </c>
      <c r="G24" s="240" t="str">
        <f ca="1">Specs!J27</f>
        <v xml:space="preserve">(130 MPH 3-SEC GUST) </v>
      </c>
      <c r="H24" s="240"/>
    </row>
    <row r="25" spans="3:16" ht="12.75" customHeight="1">
      <c r="C25" s="265" t="str">
        <f ca="1">Specs!G16</f>
        <v>ENERGY: IEEC-2006</v>
      </c>
      <c r="D25" s="265"/>
      <c r="E25" s="93"/>
      <c r="F25" s="99" t="s">
        <v>394</v>
      </c>
      <c r="G25" s="193" t="str">
        <f ca="1">Specs!I28</f>
        <v>B</v>
      </c>
      <c r="H25" s="193"/>
    </row>
    <row r="26" spans="3:16">
      <c r="F26" s="99" t="s">
        <v>395</v>
      </c>
      <c r="G26" s="193" t="str">
        <f ca="1">Specs!J29</f>
        <v>B</v>
      </c>
      <c r="H26" s="193"/>
    </row>
    <row r="28" spans="3:16">
      <c r="C28" s="42" t="s">
        <v>396</v>
      </c>
      <c r="D28" s="103">
        <f ca="1">IF(Inputs!E24=Inputs!E31,Inputs!J40,Inputs!J45)</f>
        <v>14.617647058823529</v>
      </c>
      <c r="E28" s="191" t="s">
        <v>397</v>
      </c>
      <c r="F28" s="191"/>
    </row>
    <row r="29" spans="3:16">
      <c r="C29" s="42" t="s">
        <v>398</v>
      </c>
      <c r="D29" s="2">
        <f ca="1">IF(Inputs!E24=Inputs!E31,Inputs!E59,Inputs!E60)</f>
        <v>1</v>
      </c>
    </row>
    <row r="30" spans="3:16">
      <c r="C30" s="42" t="s">
        <v>399</v>
      </c>
      <c r="D30" s="2">
        <f ca="1">IF(Inputs!E24=Inputs!E31,Inputs!F59,Inputs!F60)</f>
        <v>1</v>
      </c>
    </row>
    <row r="31" spans="3:16">
      <c r="C31" s="42" t="s">
        <v>400</v>
      </c>
      <c r="D31" s="2">
        <f ca="1">IF(Inputs!E24=Inputs!E31,Inputs!G59,Inputs!G60)</f>
        <v>1</v>
      </c>
    </row>
    <row r="32" spans="3:16">
      <c r="C32" s="42" t="s">
        <v>401</v>
      </c>
      <c r="D32" s="2">
        <v>1</v>
      </c>
    </row>
    <row r="33" spans="3:4">
      <c r="C33" s="102" t="s">
        <v>406</v>
      </c>
      <c r="D33" s="2"/>
    </row>
    <row r="35" spans="3:4">
      <c r="C35" s="42" t="s">
        <v>402</v>
      </c>
      <c r="D35" s="1">
        <f ca="1">Inputs!G36</f>
        <v>10</v>
      </c>
    </row>
    <row r="36" spans="3:4">
      <c r="C36" s="102" t="s">
        <v>403</v>
      </c>
      <c r="D36" s="1">
        <f ca="1">Inputs!F37</f>
        <v>7</v>
      </c>
    </row>
  </sheetData>
  <mergeCells count="15">
    <mergeCell ref="C6:I6"/>
    <mergeCell ref="G21:H21"/>
    <mergeCell ref="G22:H22"/>
    <mergeCell ref="G23:H23"/>
    <mergeCell ref="G24:H24"/>
    <mergeCell ref="G25:H25"/>
    <mergeCell ref="C21:D21"/>
    <mergeCell ref="C22:D22"/>
    <mergeCell ref="F12:G12"/>
    <mergeCell ref="C23:D23"/>
    <mergeCell ref="C24:D24"/>
    <mergeCell ref="C25:D25"/>
    <mergeCell ref="D8:E8"/>
    <mergeCell ref="E28:F28"/>
    <mergeCell ref="G26:H26"/>
  </mergeCells>
  <phoneticPr fontId="15" type="noConversion"/>
  <pageMargins left="0.7" right="0.7" top="0.75" bottom="0.75" header="0.3" footer="0.3"/>
  <pageSetup scale="96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Inputs</vt:lpstr>
      <vt:lpstr>Specs</vt:lpstr>
      <vt:lpstr>AC duct</vt:lpstr>
      <vt:lpstr>Telecom</vt:lpstr>
      <vt:lpstr>Electrical 1-ph</vt:lpstr>
      <vt:lpstr>Electrical 3-ph</vt:lpstr>
      <vt:lpstr>Plumbing</vt:lpstr>
      <vt:lpstr>Check</vt:lpstr>
      <vt:lpstr>Summation</vt:lpstr>
      <vt:lpstr>Sheet1</vt:lpstr>
      <vt:lpstr>Occupancy</vt:lpstr>
      <vt:lpstr>'AC duct'!Print_Area</vt:lpstr>
      <vt:lpstr>'Electrical 3-ph'!Print_Area</vt:lpstr>
      <vt:lpstr>Inputs!Print_Area</vt:lpstr>
      <vt:lpstr>Specs!Print_Area</vt:lpstr>
      <vt:lpstr>Summation!Print_Area</vt:lpstr>
      <vt:lpstr>Telecom!Print_Area</vt:lpstr>
    </vt:vector>
  </TitlesOfParts>
  <Company>Nortex Modular Space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john.white</dc:creator>
  <cp:lastModifiedBy>jim.attrell</cp:lastModifiedBy>
  <cp:lastPrinted>2009-09-09T18:20:33Z</cp:lastPrinted>
  <dcterms:created xsi:type="dcterms:W3CDTF">2007-01-08T20:40:52Z</dcterms:created>
  <dcterms:modified xsi:type="dcterms:W3CDTF">2009-09-09T19:05:17Z</dcterms:modified>
</cp:coreProperties>
</file>